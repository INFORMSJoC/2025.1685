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3430d492845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9c0080590049e0"/>
    <x:sheet xmlns:r="http://schemas.openxmlformats.org/officeDocument/2006/relationships" name="use" sheetId="2" r:id="R4854b0f102d94c88"/>
    <x:sheet xmlns:r="http://schemas.openxmlformats.org/officeDocument/2006/relationships" name="Sheet4" sheetId="4" r:id="R99281b8e2f57477a"/>
  </x:sheets>
</x:workbook>
</file>

<file path=xl/sharedStrings.xml><?xml version="1.0" encoding="utf-8"?>
<x:sst xmlns:x="http://schemas.openxmlformats.org/spreadsheetml/2006/main">
  <x:si>
    <x:t xml:space="preserve">file_name</x:t>
  </x:si>
  <x:si>
    <x:t xml:space="preserve">node-hub-trip-passenger</x:t>
  </x:si>
  <x:si>
    <x:t xml:space="preserve">tag</x:t>
  </x:si>
  <x:si>
    <x:t xml:space="preserve">agg_cut</x:t>
  </x:si>
  <x:si>
    <x:t xml:space="preserve">parallel method</x:t>
  </x:si>
  <x:si>
    <x:t xml:space="preserve">arc elim</x:t>
  </x:si>
  <x:si>
    <x:t xml:space="preserve">Delta type</x:t>
  </x:si>
  <x:si>
    <x:t xml:space="preserve">lp warm start</x:t>
  </x:si>
  <x:si>
    <x:t xml:space="preserve">solution approach</x:t>
  </x:si>
  <x:si>
    <x:t xml:space="preserve">primal also dual</x:t>
  </x:si>
  <x:si>
    <x:t xml:space="preserve">time read data</x:t>
  </x:si>
  <x:si>
    <x:t xml:space="preserve">time model creation</x:t>
  </x:si>
  <x:si>
    <x:t xml:space="preserve">time preprocess</x:t>
  </x:si>
  <x:si>
    <x:t xml:space="preserve">min time preprocess</x:t>
  </x:si>
  <x:si>
    <x:t xml:space="preserve">max time preprocess</x:t>
  </x:si>
  <x:si>
    <x:t xml:space="preserve">min iter preprocess</x:t>
  </x:si>
  <x:si>
    <x:t xml:space="preserve">max iter preprocess</x:t>
  </x:si>
  <x:si>
    <x:t xml:space="preserve">ave iter preprocess</x:t>
  </x:si>
  <x:si>
    <x:t xml:space="preserve">solution time</x:t>
  </x:si>
  <x:si>
    <x:t xml:space="preserve">total solution time</x:t>
  </x:si>
  <x:si>
    <x:t xml:space="preserve">solution time MP</x:t>
  </x:si>
  <x:si>
    <x:t xml:space="preserve">total solution time MP</x:t>
  </x:si>
  <x:si>
    <x:t xml:space="preserve">solution time SP</x:t>
  </x:si>
  <x:si>
    <x:t xml:space="preserve">total solution time SP</x:t>
  </x:si>
  <x:si>
    <x:t xml:space="preserve">time retrieve MP info</x:t>
  </x:si>
  <x:si>
    <x:t xml:space="preserve">total time retrieve MP info</x:t>
  </x:si>
  <x:si>
    <x:t xml:space="preserve">time retrieve SP info</x:t>
  </x:si>
  <x:si>
    <x:t xml:space="preserve">total time retrieve SP info</x:t>
  </x:si>
  <x:si>
    <x:t xml:space="preserve">time update MP</x:t>
  </x:si>
  <x:si>
    <x:t xml:space="preserve">total time update MP</x:t>
  </x:si>
  <x:si>
    <x:t xml:space="preserve">time update SP</x:t>
  </x:si>
  <x:si>
    <x:t xml:space="preserve">total time update SP</x:t>
  </x:si>
  <x:si>
    <x:t xml:space="preserve">LB record</x:t>
  </x:si>
  <x:si>
    <x:t xml:space="preserve">UB record</x:t>
  </x:si>
  <x:si>
    <x:t xml:space="preserve">final_lb</x:t>
  </x:si>
  <x:si>
    <x:t xml:space="preserve">final_ub</x:t>
  </x:si>
  <x:si>
    <x:t xml:space="preserve">gap</x:t>
  </x:si>
  <x:si>
    <x:t xml:space="preserve">MILPGap</x:t>
  </x:si>
  <x:si>
    <x:t xml:space="preserve">pure solve time</x:t>
  </x:si>
  <x:si>
    <x:t xml:space="preserve">n iters</x:t>
  </x:si>
  <x:si>
    <x:t xml:space="preserve">n_cut_each_iter</x:t>
  </x:si>
  <x:si>
    <x:t xml:space="preserve">n_node_BnB</x:t>
  </x:si>
  <x:si>
    <x:t xml:space="preserve">unexplored_sub_prob</x:t>
  </x:si>
  <x:si>
    <x:t xml:space="preserve">node81-hub6-tripN1000-scenario30-time2025-07-10-22-51-41.</x:t>
  </x:si>
  <x:si>
    <x:t xml:space="preserve">['81', '6', '1000', '30']</x:t>
  </x:si>
  <x:si>
    <x:t xml:space="preserve">inexactCCG</x:t>
  </x:si>
  <x:si>
    <x:t xml:space="preserve">process_1_core</x:t>
  </x:si>
  <x:si>
    <x:t xml:space="preserve">MST</x:t>
  </x:si>
  <x:si>
    <x:t xml:space="preserve">primal</x:t>
  </x:si>
  <x:si>
    <x:t xml:space="preserve">[207.07587838172913, 182.12423610687256, 225.33634448051453, 210.7648468017578, 441.82391834259033, 482.3296458721161, 554.3059947490692, 538.3726460933685, 891.9045877456665, 887.471951007843, 768.7024302482605]</x:t>
  </x:si>
  <x:si>
    <x:t xml:space="preserve">[0.013776302337646484, 12.51021933555603, 60.24816656112671, 42.19382071495056, 262.80052971839905, 314.4308705329895, 383.03327989578247, 365.4539165496826, 726.4068229198456, 720.877409696579, 600.633627653122]</x:t>
  </x:si>
  <x:si>
    <x:t xml:space="preserve">[10.370237350463867, 10.704861640930176, 10.45152759552002, 10.73989486694336, 12.67625641822815, 10.352503538131714, 11.358927249908447, 12.031518459320068, 9.047197103500366, 10.145716905593872, 11.088469505310059]</x:t>
  </x:si>
  <x:si>
    <x:t xml:space="preserve">[0.05417990684509277, 0.05976414680480957, 0.07982587814331055, 0.0837550163269043, 0.09750032424926758, 0.08350396156311035, 0.11498570442199707, 0.0907752513885498, 0.11621308326721191, 0.10221457481384277, 0.0900881290435791]</x:t>
  </x:si>
  <x:si>
    <x:t xml:space="preserve">[4.601176738739014, 4.553948879241943, 4.679696798324585, 4.856016397476196, 4.8859522342681885, 4.73600697517395, 4.757427215576172, 4.794226408004761, 4.632648229598999, 4.612792730331421, 4.795770168304443]</x:t>
  </x:si>
  <x:si>
    <x:t xml:space="preserve">[36.40897011756897, 1.7448914051055908, 0.29753684997558594, 2.059886932373047, 1.8840646743774414, 2.029885768890381, 1.8233349323272705, 1.69590163230896, 0.327894926071167, 0.29665374755859375, 0.3217301368713379]</x:t>
  </x:si>
  <x:si>
    <x:t xml:space="preserve">[0, 0, 0, 0, 0, 0, 0, 0, 0, 0, 0]</x:t>
  </x:si>
  <x:si>
    <x:t xml:space="preserve">[575.8284250802727, 575.8284250802727, 575.8284250802727, 650.745749867221, 650.745749867221, 650.745749867221, 650.745749867221, 650.745749867221, 650.745749867221, 659.4142923653444, 659.4283537153281]</x:t>
  </x:si>
  <x:si>
    <x:t xml:space="preserve">[47684.14471840198, 979.6997204034375, 761.9870282944124, 761.9870282944124, 712.1654249956183, 712.1654249956183, 712.1654249956183, 712.1654249956183, 712.1654249956183, 712.1654249956183, 712.1654249956183]</x:t>
  </x:si>
  <x:si>
    <x:t xml:space="preserve">[6516, 2818, 3905, 3480, 3422, 3296, 3024]</x:t>
  </x:si>
  <x:si>
    <x:t xml:space="preserve">classicCCG</x:t>
  </x:si>
  <x:si>
    <x:t xml:space="preserve">[219.81961154937744, 191.1939353942871, 333.12916111946106, 3541.343111515045]</x:t>
  </x:si>
  <x:si>
    <x:t xml:space="preserve">[0.015144109725952148, 19.70232629776001, 165.1172947883606, 3374.194255590439]</x:t>
  </x:si>
  <x:si>
    <x:t xml:space="preserve">[9.934120893478394, 11.109911918640137, 10.27133321762085, 10.210192441940308]</x:t>
  </x:si>
  <x:si>
    <x:t xml:space="preserve">[0.05600428581237793, 0.07537031173706055, 0.08560824394226074, 0.1059720516204834]</x:t>
  </x:si>
  <x:si>
    <x:t xml:space="preserve">[4.991136789321899, 5.031023979187012, 4.701307058334351, 4.7963948249816895]</x:t>
  </x:si>
  <x:si>
    <x:t xml:space="preserve">[6.67572021484375e-06, 2.384185791015625e-05, 9.059906005859375e-06, 1.1444091796875e-05]</x:t>
  </x:si>
  <x:si>
    <x:t xml:space="preserve">[0, 0, 0, 0]</x:t>
  </x:si>
  <x:si>
    <x:t xml:space="preserve">[575.8284250802727, 960.6820927348002, 652.3438424894772, 653.3557661664488]</x:t>
  </x:si>
  <x:si>
    <x:t xml:space="preserve">[47684.14471840198, 979.6997204034375, 713.1596373320698, 712.1717417616903]</x:t>
  </x:si>
  <x:si>
    <x:t xml:space="preserve">[9341, 3752, 5012, 4424]</x:t>
  </x:si>
  <x:si>
    <x:t xml:space="preserve">callbackCCG</x:t>
  </x:si>
  <x:si>
    <x:t xml:space="preserve">[]</x:t>
  </x:si>
  <x:si>
    <x:t xml:space="preserve">[10.034018754959106, 10.515199422836304, 8.933746337890625, 8.972778558731079, 10.753376960754395, 10.652207374572754, 10.809006929397583, 12.288979291915894, 12.781506776809692, 12.422326564788818, 12.553609371185303, 12.15808653831482, 12.880917072296143, 11.23614239692688, 11.018944263458252, 11.617035150527954, 11.508382797241211, 11.78264307975769, 11.602752447128296, 11.463807106018066, 11.446073055267334, 11.244452714920044, 11.902292490005493, 10.750895261764526]</x:t>
  </x:si>
  <x:si>
    <x:t xml:space="preserve">[4.979498863220215, 4.759242296218872, 4.855096817016602, 4.923081398010254, 4.873940944671631, 5.137537002563477, 5.341118335723877, 5.451178312301636, 5.536590814590454, 5.700608491897583, 5.291810750961304, 5.1689746379852295, 5.42843222618103, 5.325462818145752, 4.8847832679748535, 5.254095077514648, 5.118952512741089, 4.965076208114624, 4.900168418884277, 4.838721513748169, 4.942065477371216, 4.842171907424927, 4.8558290004730225, 4.828844308853149]</x:t>
  </x:si>
  <x:si>
    <x:t xml:space="preserve">[0, 0, 0, 0, 0, 0, 0, 0, 0, 0, 0, 0, 0, 0, 0, 0, 0, 0, 0, 0, 0, 0, 0, 0]</x:t>
  </x:si>
  <x:si>
    <x:t xml:space="preserve">[-1e+100, -1e+100, -1e+100, -1e+100, -1e+100, 575.82842516878, 635.281689182434, 635.281689182434, 635.281689182434, 636.5250716520387, 636.5250716520387, 636.5250716520387, 636.5250716520387, 640.7000920853236, 640.7000920853236, 644.3201894318003, 644.3201894318003, 648.6023226029587, 648.6023226029587, 648.6023226029587, 651.7056807365598, 651.7056807365598, 654.3368757578546]</x:t>
  </x:si>
  <x:si>
    <x:t xml:space="preserve">[47684.14471840198, 979.6997204034375, 979.6997204034375, 979.6997204034375, 979.6997204034375, 979.6997204034375, 979.6997204034375, 761.9870282944124, 761.9870282944124, 759.8864178869621, 759.8864178869621, 722.0457281572568, 722.0457281572568, 712.1717417616903, 712.1717417616903, 712.1717417616903, 712.1717417616903, 712.1717417616903, 704.8057471933229, 704.8057471933229, 704.8057471933229, 704.8057471933229, 691.9059608345945, 691.9059608345945]</x:t>
  </x:si>
  <x:si>
    <x:t xml:space="preserve">[6516, 3752, 10813, 10813, 3752, 6516, 5940, 5943, 1602, 5340, 1358, 4712, 3279, 5516, 1675, 5848, 5603, 4880, 5110, 1823, 4796, 3828, 3122]</x:t>
  </x:si>
  <x:si>
    <x:t xml:space="preserve">node81-hub6-tripN1000-scenario50-time2025-07-08-09-29-47.</x:t>
  </x:si>
  <x:si>
    <x:t xml:space="preserve">['81', '6', '1000', '50']</x:t>
  </x:si>
  <x:si>
    <x:t xml:space="preserve">[787.6962814331055, 1329.3666996955872, 1352.9308319091797, 1367.1069560050964, 1349.1937663555145, 1154.2282874584198]</x:t>
  </x:si>
  <x:si>
    <x:t xml:space="preserve">[0.05034613609313965, 690.1846835613251, 726.7518985271454, 737.7002129554749, 727.1002671718597, 538.104523897171]</x:t>
  </x:si>
  <x:si>
    <x:t xml:space="preserve">[27.8495831489563, 34.879719257354736, 32.64015197753906, 32.031097173690796, 30.895612716674805, 31.894458293914795]</x:t>
  </x:si>
  <x:si>
    <x:t xml:space="preserve">[0.18970108032226562, 0.30089902877807617, 0.5082576274871826, 0.5214273929595947, 0.4906184673309326, 0.34834742546081543]</x:t>
  </x:si>
  <x:si>
    <x:t xml:space="preserve">[44.24297046661377, 44.132075786590576, 46.061808586120605, 47.08431601524353, 45.63104486465454, 45.54191517829895]</x:t>
  </x:si>
  <x:si>
    <x:t xml:space="preserve">[213.2217185497284, 33.67447257041931, 1.8594865798950195, 1.788893461227417, 1.6817498207092285, 1.6582295894622803]</x:t>
  </x:si>
  <x:si>
    <x:t xml:space="preserve">[0, 0, 0, 0, 0, 0]</x:t>
  </x:si>
  <x:si>
    <x:t xml:space="preserve">[1384.2369411366262, 1384.2369411366262, 1384.2369411366262, 1384.2369412755243, 1384.2369412755243, 1384.2369412755243]</x:t>
  </x:si>
  <x:si>
    <x:t xml:space="preserve">[134235.2870621794, 1802.7692253355056, 1802.7692253355056, 1802.7692253355056, 1802.7692253355056, 1802.7692253355056]</x:t>
  </x:si>
  <x:si>
    <x:t xml:space="preserve">[31392, 28446]</x:t>
  </x:si>
  <x:si>
    <x:t xml:space="preserve">[861.3497140407562, 2074.8547053337097, 2717.233938217163]</x:t>
  </x:si>
  <x:si>
    <x:t xml:space="preserve">[0.051091670989990234, 1431.3685529232025, 2083.8669974803925]</x:t>
  </x:si>
  <x:si>
    <x:t xml:space="preserve">[30.750332355499268, 34.94636011123657, 31.175121784210205]</x:t>
  </x:si>
  <x:si>
    <x:t xml:space="preserve">[0.18781518936157227, 0.25473904609680176, 0.29295873641967773]</x:t>
  </x:si>
  <x:si>
    <x:t xml:space="preserve">[46.65753197669983, 47.077199935913086, 48.03690552711487]</x:t>
  </x:si>
  <x:si>
    <x:t xml:space="preserve">[5.7220458984375e-06, 9.775161743164062e-06, 8.58306884765625e-06]</x:t>
  </x:si>
  <x:si>
    <x:t xml:space="preserve">[0, 0, 0]</x:t>
  </x:si>
  <x:si>
    <x:t xml:space="preserve">[1384.2369411366262, 1444.7398163792366, 1384.2369412755231]</x:t>
  </x:si>
  <x:si>
    <x:t xml:space="preserve">[134235.2870621794, 1685.324454320103, 1685.324454320103]</x:t>
  </x:si>
  <x:si>
    <x:t xml:space="preserve">[35104, 28099, 2773]</x:t>
  </x:si>
  <x:si>
    <x:t xml:space="preserve">[31.606683492660522, 37.3133065700531, 31.864452600479126, 31.212486505508423, 35.4638135433197, 31.560072422027588, 34.253477334976196, 38.29380202293396, 35.37423229217529, 35.81364297866821, 37.11040377616882, 36.065221548080444]</x:t>
  </x:si>
  <x:si>
    <x:t xml:space="preserve">[47.47894358634949, 48.55563712120056, 48.7345552444458, 46.87867021560669, 46.381545305252075, 53.622884035110474, 50.38676190376282, 52.940855741500854, 52.83088159561157, 49.89912819862366, 46.109084129333496, 50.024343490600586]</x:t>
  </x:si>
  <x:si>
    <x:t xml:space="preserve">[0, 0, 0, 0, 0, 0, 0, 0, 0, 0, 0, 0]</x:t>
  </x:si>
  <x:si>
    <x:t xml:space="preserve">[-1e+100, -1e+100, -1e+100, -1e+100, -1e+100, 1384.2369412755318, 1443.6955169110538, 1443.6955169110538, 1443.6955169110538, 1445.1525456250256, 1445.1525456250256, 1450.6545163329836]</x:t>
  </x:si>
  <x:si>
    <x:t xml:space="preserve">[134235.2870621794, 1828.4450338344413, 1828.4450338344413, 1828.4450338344413, 1828.4450338344413, 1828.4450338344413, 1828.4450338344413, 1802.7692253355056, 1802.7692253355056, 1792.4510799782634, 1792.4510799782634, 1792.4510799782634]</x:t>
  </x:si>
  <x:si>
    <x:t xml:space="preserve">[31392, 15614, 38048, 38048, 15614, 31392, 28289, 28696, 6859, 28500, 8875]</x:t>
  </x:si>
  <x:si>
    <x:t xml:space="preserve">node81-hub6-tripN1200-scenario30-time2025-07-08-09-28-50.</x:t>
  </x:si>
  <x:si>
    <x:t xml:space="preserve">['81', '6', '1200', '30']</x:t>
  </x:si>
  <x:si>
    <x:t xml:space="preserve">[497.608439207077, 687.9802236557007, 909.0032253265381, 1133.6166450977325, 1122.4839460849762, 1151.516099691391, 818.2383961677551]</x:t>
  </x:si>
  <x:si>
    <x:t xml:space="preserve">[0.03476238250732422, 297.83108353614807, 507.59685492515564, 756.5959377288818, 731.0613398551941, 742.5982210636139, 418.4499487876892]</x:t>
  </x:si>
  <x:si>
    <x:t xml:space="preserve">[18.555481433868408, 21.890408277511597, 23.628530979156494, 20.58985948562622, 21.108428478240967, 22.596190214157104, 21.454832315444946]</x:t>
  </x:si>
  <x:si>
    <x:t xml:space="preserve">[0.13210797309875488, 0.20484232902526855, 0.19919037818908691, 0.2259969711303711, 0.34157490730285645, 0.2403876781463623, 0.20696544647216797]</x:t>
  </x:si>
  <x:si>
    <x:t xml:space="preserve">[20.775779008865356, 20.739927053451538, 22.102325677871704, 21.617732763290405, 21.45578384399414, 22.463056564331055, 21.757715940475464]</x:t>
  </x:si>
  <x:si>
    <x:t xml:space="preserve">[134.19541025161743, 18.15897846221924, 22.81979274749756, 1.1818232536315918, 1.3049535751342773, 1.3091392517089844, 1.225860357284546]</x:t>
  </x:si>
  <x:si>
    <x:t xml:space="preserve">[0, 0, 0, 0, 0, 0, 0]</x:t>
  </x:si>
  <x:si>
    <x:t xml:space="preserve">[1712.1611902727855, 1712.1611902727855, 1712.1611902727855, 1712.1611902727855, 1712.1611904287674, 1712.1611904287674, 1712.1611904287674]</x:t>
  </x:si>
  <x:si>
    <x:t xml:space="preserve">[203388.23680645917, 2200.045205068318, 2079.990734918381, 2079.990734918381, 2079.990734918381, 2079.990734918381, 2079.990734918381]</x:t>
  </x:si>
  <x:si>
    <x:t xml:space="preserve">[21759, 19307, 18531]</x:t>
  </x:si>
  <x:si>
    <x:t xml:space="preserve">[560.6064293384552, 781.8822045326233, 3533.892595052719]</x:t>
  </x:si>
  <x:si>
    <x:t xml:space="preserve">[0.03832650184631348, 391.9120740890503, 3143.463963031769]</x:t>
  </x:si>
  <x:si>
    <x:t xml:space="preserve">[22.749068021774292, 21.893191814422607, 21.45633053779602]</x:t>
  </x:si>
  <x:si>
    <x:t xml:space="preserve">[0.13137364387512207, 0.1829369068145752, 0.21769142150878906]</x:t>
  </x:si>
  <x:si>
    <x:t xml:space="preserve">[20.87776780128479, 20.627297163009644, 20.77089524269104]</x:t>
  </x:si>
  <x:si>
    <x:t xml:space="preserve">[5.4836273193359375e-06, 1.1205673217773438e-05, 1.1205673217773438e-05]</x:t>
  </x:si>
  <x:si>
    <x:t xml:space="preserve">[1712.1611902727855, 1772.6640655324652, 1774.563008774611]</x:t>
  </x:si>
  <x:si>
    <x:t xml:space="preserve">[203388.23680645917, 2050.7079387024555, 2039.1417640042016]</x:t>
  </x:si>
  <x:si>
    <x:t xml:space="preserve">[24107, 18962, 18979]</x:t>
  </x:si>
  <x:si>
    <x:t xml:space="preserve">[19.57127356529236, 23.06465482711792, 20.966790676116943, 24.189711570739746, 27.666656494140625, 23.8893141746521, 24.226157426834106, 28.596847534179688, 25.95000147819519, 25.674991607666016, 25.084490299224854, 23.708033323287964, 24.84575057029724, 24.20871090888977, 23.594547271728516, 25.49003028869629]</x:t>
  </x:si>
  <x:si>
    <x:t xml:space="preserve">[21.12534737586975, 21.461838006973267, 24.142417907714844, 23.33117365837097, 23.897382497787476, 23.394357442855835, 23.74826145172119, 24.68720006942749, 20.953643083572388, 22.98810124397278, 22.65567922592163, 22.675697803497314, 21.84228014945984, 20.82746434211731, 21.1165132522583, 21.44362473487854]</x:t>
  </x:si>
  <x:si>
    <x:t xml:space="preserve">[0, 0, 0, 0, 0, 0, 0, 0, 0, 0, 0, 0, 0, 0, 0, 0]</x:t>
  </x:si>
  <x:si>
    <x:t xml:space="preserve">[-1e+100, -1e+100, -1e+100, -1e+100, -1e+100, 1712.161190428771, 1771.6348177991083, 1771.6348177991083, 1771.6348177991083, 1772.9745170241672, 1772.9745170241672, 1781.5689010539766, 1781.5689010539766, 1781.5689010539766, 1789.5446621814278]</x:t>
  </x:si>
  <x:si>
    <x:t xml:space="preserve">[203388.23680645917, 2158.1132283096917, 2158.1132283096917, 2158.1132283096917, 2158.1132283096917, 2158.1132283096917, 2158.1132283096917, 2158.1132283096917, 2158.1132283096917, 2119.139957713174, 2119.139957713174, 2119.139957713174, 2050.9332438667957, 2050.9332438667957, 1964.7221135582029, 1964.7221135582029]</x:t>
  </x:si>
  <x:si>
    <x:t xml:space="preserve">[21759, 9887, 26098, 26098, 9887, 21759, 19887, 19375, 4642, 17081, 4823, 18952, 16115, 5272, 18232]</x:t>
  </x:si>
  <x:si>
    <x:t xml:space="preserve">node81-hub6-tripN1200-scenario50-time2025-07-09-14-34-47.</x:t>
  </x:si>
  <x:si>
    <x:t xml:space="preserve">['81', '6', '1200', '50']</x:t>
  </x:si>
  <x:si>
    <x:t xml:space="preserve">[473.01629734039307, 427.9406280517578, 413.9601275920868, 1134.7242903709412, 746.5515286922455]</x:t>
  </x:si>
  <x:si>
    <x:t xml:space="preserve">[0.03197050094604492, 30.101282835006714, 32.09645628929138, 722.9574730396271, 332.9804925918579]</x:t>
  </x:si>
  <x:si>
    <x:t xml:space="preserve">[19.395100831985474, 24.357160806655884, 23.10527801513672, 25.366933345794678, 25.582563400268555]</x:t>
  </x:si>
  <x:si>
    <x:t xml:space="preserve">[0.1287083625793457, 0.16799283027648926, 0.1823875904083252, 0.22345757484436035, 0.1714305877685547]</x:t>
  </x:si>
  <x:si>
    <x:t xml:space="preserve">[21.06488609313965, 22.44117546081543, 21.357980489730835, 23.02735924720764, 21.670602321624756]</x:t>
  </x:si>
  <x:si>
    <x:t xml:space="preserve">[101.07286214828491, 0.8997631072998047, 5.572858810424805, 0.8574404716491699, 0.7496767044067383]</x:t>
  </x:si>
  <x:si>
    <x:t xml:space="preserve">[0, 0, 0, 0, 0]</x:t>
  </x:si>
  <x:si>
    <x:t xml:space="preserve">[776.3296361665602, 776.3296361665602, 1161.1833038376149, 1161.1833038376149, 1161.1833038376149]</x:t>
  </x:si>
  <x:si>
    <x:t xml:space="preserve">[64584.344024841914, 1189.7588375751225, 1189.7588375751225, 1189.7588375751225, 979.440457962955]</x:t>
  </x:si>
  <x:si>
    <x:t xml:space="preserve">[14060, 6341]</x:t>
  </x:si>
  <x:si>
    <x:t xml:space="preserve">[474.3058993816376, 413.58259534835815, 507.7654457092285, 3703.660447359085]</x:t>
  </x:si>
  <x:si>
    <x:t xml:space="preserve">[0.03138566017150879, 48.45393943786621, 146.9589660167694, 3324.03999710083]</x:t>
  </x:si>
  <x:si>
    <x:t xml:space="preserve">[18.13506770133972, 22.030161142349243, 21.022407054901123, 21.66404414176941]</x:t>
  </x:si>
  <x:si>
    <x:t xml:space="preserve">[0.12680435180664062, 0.25172924995422363, 0.16948866844177246, 0.24791336059570312]</x:t>
  </x:si>
  <x:si>
    <x:t xml:space="preserve">[20.635029792785645, 20.817088842391968, 20.88512945175171, 21.594476222991943]</x:t>
  </x:si>
  <x:si>
    <x:t xml:space="preserve">[9.059906005859375e-06, 5.0067901611328125e-06, 9.298324584960938e-06, 1.0251998901367188e-05]</x:t>
  </x:si>
  <x:si>
    <x:t xml:space="preserve">[776.3296361665602, 1161.1833038376149, 860.770386438389, 859.3138259624242]</x:t>
  </x:si>
  <x:si>
    <x:t xml:space="preserve">[64584.344024841914, 1189.7588375751225, 979.440457962955, 946.8733792658641]</x:t>
  </x:si>
  <x:si>
    <x:t xml:space="preserve">[19091, 8141, 11421, 10335]</x:t>
  </x:si>
  <x:si>
    <x:t xml:space="preserve">[17.951108932495117, 22.50210475921631, 20.071897268295288, 20.848243951797485, 25.114552974700928, 20.634936094284058, 20.42124056816101, 24.444085121154785, 24.59234881401062, 25.91761326789856, 25.02312207221985, 26.337403059005737, 24.004029989242554, 23.722229957580566, 25.33453893661499, 22.214812517166138]</x:t>
  </x:si>
  <x:si>
    <x:t xml:space="preserve">[22.087727546691895, 21.92987370491028, 22.920925855636597, 22.818954706192017, 23.420981884002686, 21.78721809387207, 21.21097993850708, 23.53729224205017, 23.110710620880127, 21.852476358413696, 21.67341709136963, 21.533567190170288, 21.056145668029785, 20.93488311767578, 23.36102271080017, 21.164493322372437]</x:t>
  </x:si>
  <x:si>
    <x:t xml:space="preserve">[-1e+100, -1e+100, -1e+100, -1e+100, -1e+100, 776.3296362715877, 835.7756511507341, 835.7756511507341, 835.7756511507341, 836.8772287324165, 836.8772287324165, 836.8772287324165, 836.8772287324165, 838.3100566865028, 850.596248387301]</x:t>
  </x:si>
  <x:si>
    <x:t xml:space="preserve">[64584.344024841914, 1189.7588375751225, 1189.7588375751225, 1189.7588375751225, 1189.7588375751225, 1189.7588375751225, 1189.7588375751225, 979.440457962955, 979.440457962955, 946.8733792658641, 946.8733792658641, 943.7514771930958, 943.7514771930958, 943.7514771930958, 943.7514771930958, 943.7514771930958]</x:t>
  </x:si>
  <x:si>
    <x:t xml:space="preserve">[14060, 8141, 22066, 22066, 8141, 14060, 12697, 12714, 3329, 12648, 3817, 11862, 4355, 12931, 10637]</x:t>
  </x:si>
  <x:si>
    <x:t xml:space="preserve">node81-hub6-tripN1500-scenario30-time2025-07-09-14-36-02.</x:t>
  </x:si>
  <x:si>
    <x:t xml:space="preserve">['81', '6', '1500', '30']</x:t>
  </x:si>
  <x:si>
    <x:t xml:space="preserve">[424.3013346195221, 511.76335430145264, 931.628148317337, 1074.9066841602325, 1070.2261419296265, 1054.873387336731, 914.043890953064]</x:t>
  </x:si>
  <x:si>
    <x:t xml:space="preserve">[0.031270742416381836, 167.97835230827332, 556.6378452777863, 725.4437947273254, 725.1033835411072, 730.0787737369537, 570.2001268863678]</x:t>
  </x:si>
  <x:si>
    <x:t xml:space="preserve">[17.40901255607605, 21.274746656417847, 22.967225551605225, 19.471263647079468, 20.061731815338135, 16.57698965072632, 18.08863139152527]</x:t>
  </x:si>
  <x:si>
    <x:t xml:space="preserve">[0.10970902442932129, 0.1738271713256836, 0.17865300178527832, 0.23559093475341797, 0.18151044845581055, 0.34036779403686523, 0.18904519081115723]</x:t>
  </x:si>
  <x:si>
    <x:t xml:space="preserve">[16.872533082962036, 16.914607763290405, 17.32072639465332, 17.457957983016968, 17.65478253364563, 16.839595794677734, 18.10419750213623]</x:t>
  </x:si>
  <x:si>
    <x:t xml:space="preserve">[95.71890068054199, 12.765314817428589, 10.599969387054443, 0.9023239612579346, 0.9388306140899658, 0.8941459655761719, 1.0387442111968994]</x:t>
  </x:si>
  <x:si>
    <x:t xml:space="preserve">[1250.1947716182299, 1250.1947716182299, 1250.1947716182299, 1250.1947716182299, 1250.1947717662124, 1250.1947717662124, 1250.1947717662124]</x:t>
  </x:si>
  <x:si>
    <x:t xml:space="preserve">[121662.16915905653, 1594.3318909475972, 1524.7454378307527, 1524.7454378307527, 1524.7454378307527, 1524.7454378307527, 1524.7454378307527]</x:t>
  </x:si>
  <x:si>
    <x:t xml:space="preserve">[15445, 13958, 13529]</x:t>
  </x:si>
  <x:si>
    <x:t xml:space="preserve">[443.78464436531067, 541.9099969863892, 1455.501702785492, 2573.5067915916443]</x:t>
  </x:si>
  <x:si>
    <x:t xml:space="preserve">[0.031197547912597656, 201.72806096076965, 1106.7403635978699, 2217.132546186447]</x:t>
  </x:si>
  <x:si>
    <x:t xml:space="preserve">[16.617075443267822, 20.016675233840942, 19.68511414527893, 21.8785400390625]</x:t>
  </x:si>
  <x:si>
    <x:t xml:space="preserve">[0.10654163360595703, 0.16446161270141602, 0.17092061042785645, 0.33252620697021484]</x:t>
  </x:si>
  <x:si>
    <x:t xml:space="preserve">[17.31153702735901, 16.881432056427002, 17.319257020950317, 17.55204439163208]</x:t>
  </x:si>
  <x:si>
    <x:t xml:space="preserve">[1.3589859008789062e-05, 9.298324584960938e-06, 1.1444091796875e-05, 1.5735626220703125e-05]</x:t>
  </x:si>
  <x:si>
    <x:t xml:space="preserve">[1250.1947716182299, 1310.4433166638319, 1323.7770088176032, 1318.9532584217095]</x:t>
  </x:si>
  <x:si>
    <x:t xml:space="preserve">[121662.16915905653, 1515.056982498319, 1508.4405611617026, 1472.427817275042]</x:t>
  </x:si>
  <x:si>
    <x:t xml:space="preserve">[18829, 13513, 13985, 13353]</x:t>
  </x:si>
  <x:si>
    <x:t xml:space="preserve">[16.726393222808838, 21.15169620513916, 16.64088273048401, 18.55989360809326, 19.850836992263794, 19.636483669281006, 21.72397494316101, 24.939281225204468, 24.4539532661438, 25.124327659606934, 20.97706437110901, 23.179161071777344, 20.496896743774414, 20.133973836898804, 20.86134123802185, 19.29821491241455]</x:t>
  </x:si>
  <x:si>
    <x:t xml:space="preserve">[16.93422842025757, 16.507136344909668, 16.46148371696472, 20.385371923446655, 16.5396888256073, 16.88305902481079, 19.587754249572754, 18.613293170928955, 17.823137760162354, 17.66121816635132, 16.68012762069702, 19.003559589385986, 16.995834350585938, 16.459476709365845, 17.096075534820557, 16.602952241897583]</x:t>
  </x:si>
  <x:si>
    <x:t xml:space="preserve">[-1e+100, -1e+100, -1e+100, -1e+100, -1e+100, 1250.194771766223, 1309.6460222800727, 1309.6460222800727, 1309.6460222800727, 1311.166491660041, 1311.166491660041, 1314.4093188137945, 1325.2101421340683, 1325.2101421340683, 1325.2101421340683]</x:t>
  </x:si>
  <x:si>
    <x:t xml:space="preserve">[121662.16915905653, 1676.0588702679338, 1676.0588702679338, 1676.0588702679338, 1676.0588702679338, 1676.0588702679338, 1676.0588702679338, 1676.0588702679338, 1676.0588702679338, 1499.1502120012203, 1499.1502120012203, 1499.1502120012203, 1499.1502120012203, 1458.118183935752, 1458.118183935752, 1458.118183935752]</x:t>
  </x:si>
  <x:si>
    <x:t xml:space="preserve">[15445, 7754, 21106, 21106, 7754, 15445, 13961, 14302, 2952, 13865, 3653, 13215, 13314, 10944, 4057]</x:t>
  </x:si>
  <x:si>
    <x:t xml:space="preserve">node81-hub6-tripN1500-scenario50-time2025-07-09-14-34-52.</x:t>
  </x:si>
  <x:si>
    <x:t xml:space="preserve">['81', '6', '1500', '50']</x:t>
  </x:si>
  <x:si>
    <x:t xml:space="preserve">[556.010879278183, 643.0123112201691, 870.01660323143, 1141.0434637069702, 1152.853783607483, 1180.0786941051483, 1062.0437259674072]</x:t>
  </x:si>
  <x:si>
    <x:t xml:space="preserve">[0.03223085403442383, 197.7953634262085, 439.48353362083435, 734.5400862693787, 675.500406742096, 749.7210233211517, 654.1325278282166]</x:t>
  </x:si>
  <x:si>
    <x:t xml:space="preserve">[23.232621669769287, 26.041942596435547, 24.918482780456543, 20.688618183135986, 27.765514850616455, 22.241289615631104, 20.485763549804688]</x:t>
  </x:si>
  <x:si>
    <x:t xml:space="preserve">[0.14473748207092285, 0.23564624786376953, 0.2218935489654541, 0.22328948974609375, 0.23512506484985352, 0.22960472106933594, 0.2204267978668213]</x:t>
  </x:si>
  <x:si>
    <x:t xml:space="preserve">[28.000025987625122, 27.495020389556885, 26.986006498336792, 26.429001092910767, 28.293466806411743, 26.20452618598938, 26.506281852722168]</x:t>
  </x:si>
  <x:si>
    <x:t xml:space="preserve">[103.18122029304504, 12.33975338935852, 11.34685230255127, 0.9032289981842041, 12.48265266418457, 0.902360200881958, 0.9402620792388916]</x:t>
  </x:si>
  <x:si>
    <x:t xml:space="preserve">[898.3611296831483, 898.3611296831483, 898.3611296831483, 898.3611296831483, 962.5149762976704, 962.5149762976704, 962.5149762976704]</x:t>
  </x:si>
  <x:si>
    <x:t xml:space="preserve">[68639.08164851622, 1125.545640537771, 1107.8098367083635, 1107.8098367083635, 1088.4099099085947, 1088.4099099085947, 1088.4099099085947]</x:t>
  </x:si>
  <x:si>
    <x:t xml:space="preserve">[16485, 14639, 14154, 14125]</x:t>
  </x:si>
  <x:si>
    <x:t xml:space="preserve">[540.1516082286835, 652.6884009838104, 2710.3848502635956, 1438.174931526184]</x:t>
  </x:si>
  <x:si>
    <x:t xml:space="preserve">[0.033907413482666016, 227.69467282295227, 2274.7250719070435, 1012.4847354888916]</x:t>
  </x:si>
  <x:si>
    <x:t xml:space="preserve">[20.330482244491577, 24.133998155593872, 24.065279006958008, 22.65282678604126]</x:t>
  </x:si>
  <x:si>
    <x:t xml:space="preserve">[0.13233137130737305, 0.19525885581970215, 0.19687914848327637, 0.23478460311889648]</x:t>
  </x:si>
  <x:si>
    <x:t xml:space="preserve">[26.15542721748352, 25.951101303100586, 28.499349355697632, 26.683578729629517]</x:t>
  </x:si>
  <x:si>
    <x:t xml:space="preserve">[4.76837158203125e-06, 1.049041748046875e-05, 8.106231689453125e-06, 6.9141387939453125e-06]</x:t>
  </x:si>
  <x:si>
    <x:t xml:space="preserve">[898.3611296831483, 957.9923936177818, 960.6693413039658, 898.3611298023903]</x:t>
  </x:si>
  <x:si>
    <x:t xml:space="preserve">[68639.08164851622, 1125.545640537771, 1100.7074120163852, 1100.7074120163852]</x:t>
  </x:si>
  <x:si>
    <x:t xml:space="preserve">[21846, 14790, 15092, 452]</x:t>
  </x:si>
  <x:si>
    <x:t xml:space="preserve">[24.30254030227661, 28.285226106643677, 23.22047233581543, 22.816922426223755, 26.646239280700684, 24.75394082069397, 24.72077703475952, 29.159882307052612, 28.285995960235596, 26.637614011764526, 27.27638292312622, 26.420634269714355, 26.609067916870117, 24.569072723388672]</x:t>
  </x:si>
  <x:si>
    <x:t xml:space="preserve">[29.955710649490356, 28.995132446289062, 28.266809225082397, 28.690288305282593, 28.44973611831665, 28.440486669540405, 27.327792406082153, 27.021541595458984, 27.030162811279297, 27.498515367507935, 27.4732027053833, 27.323169469833374, 26.99721884727478, 26.264224529266357]</x:t>
  </x:si>
  <x:si>
    <x:t xml:space="preserve">[0, 0, 0, 0, 0, 0, 0, 0, 0, 0, 0, 0, 0, 0]</x:t>
  </x:si>
  <x:si>
    <x:t xml:space="preserve">[-1e+100, -1e+100, -1e+100, -1e+100, -1e+100, 898.3611298023994, 957.7977697539008, 957.7980943275662, 957.7980943275662, 957.7980943275662, 957.7980943275662, 960.5648592814424, 965.6346662883997, 971.6272056589036]</x:t>
  </x:si>
  <x:si>
    <x:t xml:space="preserve">[68639.08164851622, 1312.8846165707191, 1312.8846165707191, 1312.8846165707191, 1312.8846165707191, 1312.8846165707191, 1312.8846165707191, 1133.2232783724576, 1133.2232783724576, 1111.8826344718311, 1111.8826344718311, 1087.853415324648, 1087.853415324648, 1087.853415324648]</x:t>
  </x:si>
  <x:si>
    <x:t xml:space="preserve">[16485, 9008, 25127, 25127, 9008, 16485, 14706, 15035, 3725, 14382, 3634, 13941, 15339]</x:t>
  </x:si>
  <x:si>
    <x:t xml:space="preserve">lb_correct</x:t>
  </x:si>
  <x:si>
    <x:t xml:space="preserve">gap_cal</x:t>
  </x:si>
  <x:si>
    <x:t xml:space="preserve">gap_error</x:t>
  </x:si>
  <x:si>
    <x:t xml:space="preserve">val</x:t>
  </x:si>
</x:sst>
</file>

<file path=xl/styles.xml><?xml version="1.0" encoding="utf-8"?>
<x:styleSheet xmlns:x="http://schemas.openxmlformats.org/spreadsheetml/2006/main">
  <x:numFmts count="1">
    <x:numFmt numFmtId="176" formatCode="0.00_ "/>
  </x:numFmts>
  <x:fonts count="6">
    <x:font>
      <x:sz val="11"/>
      <x:color theme="1"/>
      <x:name val="宋体"/>
    </x:font>
    <x:font>
      <x:b/>
      <x:sz val="11"/>
      <x:name val="宋体"/>
    </x:font>
    <x:font>
      <x:sz val="9"/>
      <x:name val="宋体"/>
    </x:font>
    <x:font>
      <x:b/>
      <x:sz val="11"/>
      <x:name val="宋体"/>
    </x:font>
    <x:font>
      <x:sz val="11"/>
      <x:color rgb="FFFF0000"/>
      <x:name val="宋体"/>
    </x:font>
    <x:font>
      <x:sz val="11"/>
      <x:color rgb="FFFF000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theme="6" tint="0.79998"/>
      </x:patternFill>
    </x:fill>
    <x:fill>
      <x:patternFill patternType="solid">
        <x:fgColor theme="9" tint="0.79998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3" fillId="0" borderId="1" xfId="0" applyFont="1" applyBorder="1" applyAlignment="1">
      <x:alignment horizontal="center" vertical="top"/>
    </x:xf>
    <x:xf numFmtId="0" fontId="4" fillId="0" borderId="0" xfId="0" applyFont="1"/>
    <x:xf numFmtId="0" fontId="5" fillId="0" borderId="0" xfId="0" applyFont="1"/>
    <x:xf numFmtId="0" fontId="1" fillId="2" borderId="1" xfId="0" applyFont="1" applyFill="1" applyBorder="1" applyAlignment="1">
      <x:alignment horizontal="center" vertical="top"/>
    </x:xf>
    <x:xf numFmtId="0" fontId="0" fillId="2" borderId="0" xfId="0" applyFill="1"/>
    <x:xf numFmtId="0" fontId="0" fillId="3" borderId="0" xfId="0" applyFill="1"/>
    <x:xf numFmtId="0" fontId="5" fillId="3" borderId="0" xfId="0" applyFont="1" applyFill="1"/>
    <x:xf numFmtId="0" fontId="4" fillId="3" borderId="0" xfId="0" applyFont="1" applyFill="1"/>
    <x:xf numFmtId="0" fontId="3" fillId="2" borderId="1" xfId="0" applyFont="1" applyFill="1" applyBorder="1" applyAlignment="1">
      <x:alignment horizontal="center" vertical="top"/>
    </x:xf>
    <x:xf numFmtId="0" fontId="1" fillId="0" borderId="1" xfId="0" applyFont="1" applyFill="1" applyBorder="1" applyAlignment="1">
      <x:alignment horizontal="center" vertical="top"/>
    </x:xf>
    <x:xf numFmtId="0" fontId="0" fillId="0" borderId="0" xfId="0" applyFill="1"/>
    <x:xf numFmtId="0" fontId="5" fillId="0" borderId="0" xfId="0" applyFont="1" applyFill="1"/>
    <x:xf numFmtId="0" fontId="4" fillId="0" borderId="0" xfId="0" applyFont="1" applyFill="1"/>
    <x:xf numFmtId="176" fontId="3" fillId="0" borderId="1" xfId="0" applyNumberFormat="1" applyFont="1" applyFill="1" applyBorder="1" applyAlignment="1">
      <x:alignment horizontal="center" vertical="top"/>
    </x:xf>
    <x:xf numFmtId="176" fontId="1" fillId="0" borderId="1" xfId="0" applyNumberFormat="1" applyFont="1" applyFill="1" applyBorder="1" applyAlignment="1">
      <x:alignment horizontal="center" vertical="top"/>
    </x:xf>
    <x:xf numFmtId="176" fontId="0" fillId="0" borderId="0" xfId="0" applyNumberFormat="1" applyFill="1"/>
    <x:xf numFmtId="176" fontId="0" fillId="0" borderId="0" xfId="0" applyNumberFormat="1"/>
    <x:xf numFmtId="10" fontId="1" fillId="0" borderId="1" xfId="0" applyNumberFormat="1" applyFont="1" applyFill="1" applyBorder="1" applyAlignment="1">
      <x:alignment horizontal="center" vertical="top"/>
    </x:xf>
    <x:xf numFmtId="10" fontId="0" fillId="0" borderId="0" xfId="0" applyNumberFormat="1" applyFill="1"/>
    <x:xf numFmtId="10" fontId="0" fillId="0" borderId="0" xfId="0" applyNumberFormat="1"/>
    <x:xf numFmtId="10" fontId="3" fillId="0" borderId="1" xfId="0" applyNumberFormat="1" applyFont="1" applyFill="1" applyBorder="1" applyAlignment="1">
      <x:alignment horizontal="center" vertical="top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b58db5e3a2429b" /><Relationship Type="http://schemas.openxmlformats.org/officeDocument/2006/relationships/theme" Target="/xl/theme/theme1.xml" Id="Rc25578539b574951" /><Relationship Type="http://schemas.openxmlformats.org/officeDocument/2006/relationships/sharedStrings" Target="/xl/sharedStrings.xml" Id="R886651a2f7414786" /><Relationship Type="http://schemas.openxmlformats.org/officeDocument/2006/relationships/worksheet" Target="/xl/worksheets/sheet1.xml" Id="R629c0080590049e0" /><Relationship Type="http://schemas.openxmlformats.org/officeDocument/2006/relationships/worksheet" Target="/xl/worksheets/sheet2.xml" Id="R4854b0f102d94c88" /><Relationship Type="http://schemas.openxmlformats.org/officeDocument/2006/relationships/worksheet" Target="/xl/worksheets/sheet3.xml" Id="R99281b8e2f57477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1" max="1" width="63.75" customWidth="1"/>
    <x:col min="3" max="3" width="12.7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</x:row>
    <x:row r="2">
      <x:c r="A2" t="s">
        <x:v>43</x:v>
      </x:c>
      <x:c r="B2" t="s">
        <x:v>44</x:v>
      </x:c>
      <x:c r="C2" t="s">
        <x:v>45</x:v>
      </x:c>
      <x:c r="D2" t="b">
        <x:v>0</x:v>
      </x:c>
      <x:c r="E2" t="s">
        <x:v>46</x:v>
      </x:c>
      <x:c r="F2" t="b">
        <x:v>0</x:v>
      </x:c>
      <x:c r="G2" t="s">
        <x:v>47</x:v>
      </x:c>
      <x:c r="H2" t="b">
        <x:v>0</x:v>
      </x:c>
      <x:c r="I2" t="s">
        <x:v>48</x:v>
      </x:c>
      <x:c r="J2" t="b">
        <x:v>0</x:v>
      </x:c>
      <x:c r="K2">
        <x:v>5.8334519863128662</x:v>
      </x:c>
      <x:c r="L2">
        <x:v>0.37046504020690918</x:v>
      </x:c>
      <x:c r="M2">
        <x:v>74.101501703262329</x:v>
      </x:c>
      <x:c r="N2">
        <x:v>3.98E-3</x:v>
      </x:c>
      <x:c r="O2">
        <x:v>0.13814000000000001</x:v>
      </x:c>
      <x:c r="P2">
        <x:v>1</x:v>
      </x:c>
      <x:c r="Q2">
        <x:v>1</x:v>
      </x:c>
      <x:c r="R2">
        <x:v>1</x:v>
      </x:c>
      <x:c r="S2" t="s">
        <x:v>49</x:v>
      </x:c>
      <x:c r="T2">
        <x:v>5390.2124798297882</x:v>
      </x:c>
      <x:c r="U2" t="s">
        <x:v>50</x:v>
      </x:c>
      <x:c r="V2">
        <x:v>3488.6024398803711</x:v>
      </x:c>
      <x:c r="W2" t="s">
        <x:v>51</x:v>
      </x:c>
      <x:c r="X2">
        <x:v>118.9671106338501</x:v>
      </x:c>
      <x:c r="Y2" t="s">
        <x:v>52</x:v>
      </x:c>
      <x:c r="Z2">
        <x:v>0.97280597686767578</x:v>
      </x:c>
      <x:c r="AA2" t="s">
        <x:v>53</x:v>
      </x:c>
      <x:c r="AB2">
        <x:v>51.905662775039673</x:v>
      </x:c>
      <x:c r="AC2" t="s">
        <x:v>54</x:v>
      </x:c>
      <x:c r="AD2">
        <x:v>48.890751123428338</x:v>
      </x:c>
      <x:c r="AE2" t="s">
        <x:v>55</x:v>
      </x:c>
      <x:c r="AF2">
        <x:v>0</x:v>
      </x:c>
      <x:c r="AG2" t="s">
        <x:v>56</x:v>
      </x:c>
      <x:c r="AH2" t="s">
        <x:v>57</x:v>
      </x:c>
      <x:c r="AI2">
        <x:v>659.42835371532806</x:v>
      </x:c>
      <x:c r="AJ2">
        <x:v>712.16542499561831</x:v>
      </x:c>
      <x:c r="AK2">
        <x:v>7.4051715273700913E-2</x:v>
      </x:c>
      <x:c r="AM2">
        <x:v>3607.5695505142212</x:v>
      </x:c>
      <x:c r="AO2" t="s">
        <x:v>58</x:v>
      </x:c>
      <x:c r="AP2">
        <x:v>1</x:v>
      </x:c>
      <x:c r="AQ2">
        <x:v>15030</x:v>
      </x:c>
    </x:row>
    <x:row r="3">
      <x:c r="A3" t="s">
        <x:v>43</x:v>
      </x:c>
      <x:c r="B3" t="s">
        <x:v>44</x:v>
      </x:c>
      <x:c r="C3" t="s">
        <x:v>59</x:v>
      </x:c>
      <x:c r="D3" t="b">
        <x:v>0</x:v>
      </x:c>
      <x:c r="E3" t="s">
        <x:v>46</x:v>
      </x:c>
      <x:c r="F3" t="b">
        <x:v>0</x:v>
      </x:c>
      <x:c r="G3" t="s">
        <x:v>47</x:v>
      </x:c>
      <x:c r="H3" t="b">
        <x:v>0</x:v>
      </x:c>
      <x:c r="I3" t="s">
        <x:v>48</x:v>
      </x:c>
      <x:c r="J3" t="b">
        <x:v>0</x:v>
      </x:c>
      <x:c r="K3">
        <x:v>5.8334519863128662</x:v>
      </x:c>
      <x:c r="L3">
        <x:v>0.36727309226989752</x:v>
      </x:c>
      <x:c r="M3">
        <x:v>74.965370416641235</x:v>
      </x:c>
      <x:c r="N3">
        <x:v>4.0400000000000002E-3</x:v>
      </x:c>
      <x:c r="O3">
        <x:v>0.1925</x:v>
      </x:c>
      <x:c r="P3">
        <x:v>1</x:v>
      </x:c>
      <x:c r="Q3">
        <x:v>1</x:v>
      </x:c>
      <x:c r="R3">
        <x:v>1</x:v>
      </x:c>
      <x:c r="S3" t="s">
        <x:v>60</x:v>
      </x:c>
      <x:c r="T3">
        <x:v>4285.4858195781708</x:v>
      </x:c>
      <x:c r="U3" t="s">
        <x:v>61</x:v>
      </x:c>
      <x:c r="V3">
        <x:v>3559.0290207862849</x:v>
      </x:c>
      <x:c r="W3" t="s">
        <x:v>62</x:v>
      </x:c>
      <x:c r="X3">
        <x:v>41.525558471679688</x:v>
      </x:c>
      <x:c r="Y3" t="s">
        <x:v>63</x:v>
      </x:c>
      <x:c r="Z3">
        <x:v>0.32295489311218262</x:v>
      </x:c>
      <x:c r="AA3" t="s">
        <x:v>64</x:v>
      </x:c>
      <x:c r="AB3">
        <x:v>19.519862651824951</x:v>
      </x:c>
      <x:c r="AC3" t="s">
        <x:v>65</x:v>
      </x:c>
      <x:c r="AD3">
        <x:v>5.1021575927734382E-5</x:v>
      </x:c>
      <x:c r="AE3" t="s">
        <x:v>66</x:v>
      </x:c>
      <x:c r="AF3">
        <x:v>0</x:v>
      </x:c>
      <x:c r="AG3" t="s">
        <x:v>67</x:v>
      </x:c>
      <x:c r="AH3" t="s">
        <x:v>68</x:v>
      </x:c>
      <x:c r="AI3">
        <x:v>960.68209273480022</x:v>
      </x:c>
      <x:c r="AJ3">
        <x:v>712.17174176169033</x:v>
      </x:c>
      <x:c r="AK3">
        <x:v>8.2586786508719534E-2</x:v>
      </x:c>
      <x:c r="AM3">
        <x:v>3600.5545792579651</x:v>
      </x:c>
      <x:c r="AN3">
        <x:v>5</x:v>
      </x:c>
      <x:c r="AO3" t="s">
        <x:v>69</x:v>
      </x:c>
      <x:c r="AP3">
        <x:v>1</x:v>
      </x:c>
      <x:c r="AQ3">
        <x:v>15030</x:v>
      </x:c>
    </x:row>
    <x:row r="4">
      <x:c r="A4" t="s">
        <x:v>43</x:v>
      </x:c>
      <x:c r="B4" t="s">
        <x:v>44</x:v>
      </x:c>
      <x:c r="C4" t="s">
        <x:v>70</x:v>
      </x:c>
      <x:c r="D4" t="b">
        <x:v>0</x:v>
      </x:c>
      <x:c r="E4" t="s">
        <x:v>46</x:v>
      </x:c>
      <x:c r="F4" t="b">
        <x:v>0</x:v>
      </x:c>
      <x:c r="G4" t="s">
        <x:v>47</x:v>
      </x:c>
      <x:c r="H4" t="b">
        <x:v>0</x:v>
      </x:c>
      <x:c r="I4" t="s">
        <x:v>48</x:v>
      </x:c>
      <x:c r="J4" t="b">
        <x:v>0</x:v>
      </x:c>
      <x:c r="K4">
        <x:v>5.8334519863128662</x:v>
      </x:c>
      <x:c r="L4">
        <x:v>0.25295829772949219</x:v>
      </x:c>
      <x:c r="M4">
        <x:v>73.064648866653442</x:v>
      </x:c>
      <x:c r="N4">
        <x:v>4.0600000000000002E-3</x:v>
      </x:c>
      <x:c r="O4">
        <x:v>0.37415999999999999</x:v>
      </x:c>
      <x:c r="P4">
        <x:v>1</x:v>
      </x:c>
      <x:c r="Q4">
        <x:v>1</x:v>
      </x:c>
      <x:c r="R4">
        <x:v>1</x:v>
      </x:c>
      <x:c r="S4" t="s">
        <x:v>71</x:v>
      </x:c>
      <x:c r="T4">
        <x:v>0</x:v>
      </x:c>
      <x:c r="U4" t="s">
        <x:v>71</x:v>
      </x:c>
      <x:c r="V4">
        <x:v>0</x:v>
      </x:c>
      <x:c r="W4" t="s">
        <x:v>72</x:v>
      </x:c>
      <x:c r="X4">
        <x:v>271.32918071746832</x:v>
      </x:c>
      <x:c r="Y4" t="s">
        <x:v>71</x:v>
      </x:c>
      <x:c r="Z4">
        <x:v>0</x:v>
      </x:c>
      <x:c r="AA4" t="s">
        <x:v>73</x:v>
      </x:c>
      <x:c r="AB4">
        <x:v>122.2032814025879</x:v>
      </x:c>
      <x:c r="AC4" t="s">
        <x:v>71</x:v>
      </x:c>
      <x:c r="AD4">
        <x:v>0</x:v>
      </x:c>
      <x:c r="AE4" t="s">
        <x:v>74</x:v>
      </x:c>
      <x:c r="AF4">
        <x:v>0</x:v>
      </x:c>
      <x:c r="AG4" t="s">
        <x:v>75</x:v>
      </x:c>
      <x:c r="AH4" t="s">
        <x:v>76</x:v>
      </x:c>
      <x:c r="AI4">
        <x:v>654.33687575785461</x:v>
      </x:c>
      <x:c r="AJ4">
        <x:v>691.90596083459445</x:v>
      </x:c>
      <x:c r="AK4">
        <x:v>5.4297964178369088E-2</x:v>
      </x:c>
      <x:c r="AM4">
        <x:v>3659.465821743011</x:v>
      </x:c>
      <x:c r="AN4">
        <x:v>23</x:v>
      </x:c>
      <x:c r="AO4" t="s">
        <x:v>77</x:v>
      </x:c>
      <x:c r="AP4">
        <x:v>0</x:v>
      </x:c>
      <x:c r="AQ4">
        <x:v>15030</x:v>
      </x:c>
    </x:row>
    <x:row r="5">
      <x:c r="A5" t="s">
        <x:v>78</x:v>
      </x:c>
      <x:c r="B5" t="s">
        <x:v>79</x:v>
      </x:c>
      <x:c r="C5" t="s">
        <x:v>45</x:v>
      </x:c>
      <x:c r="D5" t="b">
        <x:v>0</x:v>
      </x:c>
      <x:c r="E5" t="s">
        <x:v>46</x:v>
      </x:c>
      <x:c r="F5" t="b">
        <x:v>0</x:v>
      </x:c>
      <x:c r="G5" t="s">
        <x:v>47</x:v>
      </x:c>
      <x:c r="H5" t="b">
        <x:v>0</x:v>
      </x:c>
      <x:c r="I5" t="s">
        <x:v>48</x:v>
      </x:c>
      <x:c r="J5" t="b">
        <x:v>0</x:v>
      </x:c>
      <x:c r="K5">
        <x:v>9.0805439949035645</x:v>
      </x:c>
      <x:c r="L5">
        <x:v>1.168818473815918</x:v>
      </x:c>
      <x:c r="M5">
        <x:v>228.551470041275</x:v>
      </x:c>
      <x:c r="N5">
        <x:v>3.9899999999999996E-3</x:v>
      </x:c>
      <x:c r="O5">
        <x:v>0.18387000000000001</x:v>
      </x:c>
      <x:c r="P5">
        <x:v>1</x:v>
      </x:c>
      <x:c r="Q5">
        <x:v>1</x:v>
      </x:c>
      <x:c r="R5">
        <x:v>1</x:v>
      </x:c>
      <x:c r="S5" t="s">
        <x:v>80</x:v>
      </x:c>
      <x:c r="T5">
        <x:v>7340.5228228569031</x:v>
      </x:c>
      <x:c r="U5" t="s">
        <x:v>81</x:v>
      </x:c>
      <x:c r="V5">
        <x:v>3419.8919322490692</x:v>
      </x:c>
      <x:c r="W5" t="s">
        <x:v>82</x:v>
      </x:c>
      <x:c r="X5">
        <x:v>190.19062256813049</x:v>
      </x:c>
      <x:c r="Y5" t="s">
        <x:v>83</x:v>
      </x:c>
      <x:c r="Z5">
        <x:v>2.3592510223388672</x:v>
      </x:c>
      <x:c r="AA5" t="s">
        <x:v>84</x:v>
      </x:c>
      <x:c r="AB5">
        <x:v>272.69413089752197</x:v>
      </x:c>
      <x:c r="AC5" t="s">
        <x:v>85</x:v>
      </x:c>
      <x:c r="AD5">
        <x:v>253.88455057144171</x:v>
      </x:c>
      <x:c r="AE5" t="s">
        <x:v>86</x:v>
      </x:c>
      <x:c r="AF5">
        <x:v>0</x:v>
      </x:c>
      <x:c r="AG5" t="s">
        <x:v>87</x:v>
      </x:c>
      <x:c r="AH5" t="s">
        <x:v>88</x:v>
      </x:c>
      <x:c r="AI5">
        <x:v>1384.236941275524</x:v>
      </x:c>
      <x:c r="AJ5">
        <x:v>1802.769225335506</x:v>
      </x:c>
      <x:c r="AK5">
        <x:v>0.23216076587937559</x:v>
      </x:c>
      <x:c r="AM5">
        <x:v>3610.0825548172002</x:v>
      </x:c>
      <x:c r="AO5" t="s">
        <x:v>89</x:v>
      </x:c>
      <x:c r="AP5">
        <x:v>1</x:v>
      </x:c>
      <x:c r="AQ5">
        <x:v>44800</x:v>
      </x:c>
    </x:row>
    <x:row r="6">
      <x:c r="A6" t="s">
        <x:v>78</x:v>
      </x:c>
      <x:c r="B6" t="s">
        <x:v>79</x:v>
      </x:c>
      <x:c r="C6" t="s">
        <x:v>59</x:v>
      </x:c>
      <x:c r="D6" t="b">
        <x:v>0</x:v>
      </x:c>
      <x:c r="E6" t="s">
        <x:v>46</x:v>
      </x:c>
      <x:c r="F6" t="b">
        <x:v>0</x:v>
      </x:c>
      <x:c r="G6" t="s">
        <x:v>47</x:v>
      </x:c>
      <x:c r="H6" t="b">
        <x:v>0</x:v>
      </x:c>
      <x:c r="I6" t="s">
        <x:v>48</x:v>
      </x:c>
      <x:c r="J6" t="b">
        <x:v>0</x:v>
      </x:c>
      <x:c r="K6">
        <x:v>9.0805439949035645</x:v>
      </x:c>
      <x:c r="L6">
        <x:v>1.1977946758270259</x:v>
      </x:c>
      <x:c r="M6">
        <x:v>218.32891654968259</x:v>
      </x:c>
      <x:c r="N6">
        <x:v>4.0099999999999997E-3</x:v>
      </x:c>
      <x:c r="O6">
        <x:v>1.12897</x:v>
      </x:c>
      <x:c r="P6">
        <x:v>1</x:v>
      </x:c>
      <x:c r="Q6">
        <x:v>1</x:v>
      </x:c>
      <x:c r="R6">
        <x:v>1</x:v>
      </x:c>
      <x:c r="S6" t="s">
        <x:v>90</x:v>
      </x:c>
      <x:c r="T6">
        <x:v>5653.438357591629</x:v>
      </x:c>
      <x:c r="U6" t="s">
        <x:v>91</x:v>
      </x:c>
      <x:c r="V6">
        <x:v>3515.286642074585</x:v>
      </x:c>
      <x:c r="W6" t="s">
        <x:v>92</x:v>
      </x:c>
      <x:c r="X6">
        <x:v>96.871814250946045</x:v>
      </x:c>
      <x:c r="Y6" t="s">
        <x:v>93</x:v>
      </x:c>
      <x:c r="Z6">
        <x:v>0.73551297187805176</x:v>
      </x:c>
      <x:c r="AA6" t="s">
        <x:v>94</x:v>
      </x:c>
      <x:c r="AB6">
        <x:v>141.77163743972781</x:v>
      </x:c>
      <x:c r="AC6" t="s">
        <x:v>95</x:v>
      </x:c>
      <x:c r="AD6">
        <x:v>2.4080276489257809E-5</x:v>
      </x:c>
      <x:c r="AE6" t="s">
        <x:v>96</x:v>
      </x:c>
      <x:c r="AF6">
        <x:v>0</x:v>
      </x:c>
      <x:c r="AG6" t="s">
        <x:v>97</x:v>
      </x:c>
      <x:c r="AH6" t="s">
        <x:v>98</x:v>
      </x:c>
      <x:c r="AI6">
        <x:v>1444.739816379237</x:v>
      </x:c>
      <x:c r="AJ6">
        <x:v>1685.3244543201031</x:v>
      </x:c>
      <x:c r="AK6">
        <x:v>0.17865255100938929</x:v>
      </x:c>
      <x:c r="AM6">
        <x:v>3612.158456325531</x:v>
      </x:c>
      <x:c r="AN6">
        <x:v>4</x:v>
      </x:c>
      <x:c r="AO6" t="s">
        <x:v>99</x:v>
      </x:c>
      <x:c r="AP6">
        <x:v>1</x:v>
      </x:c>
      <x:c r="AQ6">
        <x:v>44800</x:v>
      </x:c>
    </x:row>
    <x:row r="7">
      <x:c r="A7" t="s">
        <x:v>78</x:v>
      </x:c>
      <x:c r="B7" t="s">
        <x:v>79</x:v>
      </x:c>
      <x:c r="C7" t="s">
        <x:v>70</x:v>
      </x:c>
      <x:c r="D7" t="b">
        <x:v>0</x:v>
      </x:c>
      <x:c r="E7" t="s">
        <x:v>46</x:v>
      </x:c>
      <x:c r="F7" t="b">
        <x:v>0</x:v>
      </x:c>
      <x:c r="G7" t="s">
        <x:v>47</x:v>
      </x:c>
      <x:c r="H7" t="b">
        <x:v>0</x:v>
      </x:c>
      <x:c r="I7" t="s">
        <x:v>48</x:v>
      </x:c>
      <x:c r="J7" t="b">
        <x:v>0</x:v>
      </x:c>
      <x:c r="K7">
        <x:v>9.0805439949035645</x:v>
      </x:c>
      <x:c r="L7">
        <x:v>0.8845820426940918</x:v>
      </x:c>
      <x:c r="M7">
        <x:v>217.21228003501889</x:v>
      </x:c>
      <x:c r="N7">
        <x:v>4.0200000000000001E-3</x:v>
      </x:c>
      <x:c r="O7">
        <x:v>1.0070000000000001E-2</x:v>
      </x:c>
      <x:c r="P7">
        <x:v>1</x:v>
      </x:c>
      <x:c r="Q7">
        <x:v>1</x:v>
      </x:c>
      <x:c r="R7">
        <x:v>1</x:v>
      </x:c>
      <x:c r="S7" t="s">
        <x:v>71</x:v>
      </x:c>
      <x:c r="T7">
        <x:v>0</x:v>
      </x:c>
      <x:c r="U7" t="s">
        <x:v>71</x:v>
      </x:c>
      <x:c r="V7">
        <x:v>0</x:v>
      </x:c>
      <x:c r="W7" t="s">
        <x:v>100</x:v>
      </x:c>
      <x:c r="X7">
        <x:v>415.93159508705139</x:v>
      </x:c>
      <x:c r="Y7" t="s">
        <x:v>71</x:v>
      </x:c>
      <x:c r="Z7">
        <x:v>0</x:v>
      </x:c>
      <x:c r="AA7" t="s">
        <x:v>101</x:v>
      </x:c>
      <x:c r="AB7">
        <x:v>593.84329056739807</x:v>
      </x:c>
      <x:c r="AC7" t="s">
        <x:v>71</x:v>
      </x:c>
      <x:c r="AD7">
        <x:v>0</x:v>
      </x:c>
      <x:c r="AE7" t="s">
        <x:v>102</x:v>
      </x:c>
      <x:c r="AF7">
        <x:v>0</x:v>
      </x:c>
      <x:c r="AG7" t="s">
        <x:v>103</x:v>
      </x:c>
      <x:c r="AH7" t="s">
        <x:v>104</x:v>
      </x:c>
      <x:c r="AI7">
        <x:v>1450.654516332984</x:v>
      </x:c>
      <x:c r="AJ7">
        <x:v>1792.4510799782629</x:v>
      </x:c>
      <x:c r="AK7">
        <x:v>0.19068669012016651</x:v>
      </x:c>
      <x:c r="AM7">
        <x:v>3884.6900625228882</x:v>
      </x:c>
      <x:c r="AN7">
        <x:v>11</x:v>
      </x:c>
      <x:c r="AO7" t="s">
        <x:v>105</x:v>
      </x:c>
      <x:c r="AP7">
        <x:v>0</x:v>
      </x:c>
      <x:c r="AQ7">
        <x:v>44800</x:v>
      </x:c>
    </x:row>
    <x:row r="8">
      <x:c r="A8" t="s">
        <x:v>106</x:v>
      </x:c>
      <x:c r="B8" t="s">
        <x:v>107</x:v>
      </x:c>
      <x:c r="C8" t="s">
        <x:v>45</x:v>
      </x:c>
      <x:c r="D8" t="b">
        <x:v>0</x:v>
      </x:c>
      <x:c r="E8" t="s">
        <x:v>46</x:v>
      </x:c>
      <x:c r="F8" t="b">
        <x:v>0</x:v>
      </x:c>
      <x:c r="G8" t="s">
        <x:v>47</x:v>
      </x:c>
      <x:c r="H8" t="b">
        <x:v>0</x:v>
      </x:c>
      <x:c r="I8" t="s">
        <x:v>48</x:v>
      </x:c>
      <x:c r="J8" t="b">
        <x:v>0</x:v>
      </x:c>
      <x:c r="K8">
        <x:v>5.783289909362793</x:v>
      </x:c>
      <x:c r="L8">
        <x:v>0.75932550430297852</x:v>
      </x:c>
      <x:c r="M8">
        <x:v>158.49789381027219</x:v>
      </x:c>
      <x:c r="N8">
        <x:v>4.0600000000000002E-3</x:v>
      </x:c>
      <x:c r="O8">
        <x:v>5.31677</x:v>
      </x:c>
      <x:c r="P8">
        <x:v>1</x:v>
      </x:c>
      <x:c r="Q8">
        <x:v>1</x:v>
      </x:c>
      <x:c r="R8">
        <x:v>1</x:v>
      </x:c>
      <x:c r="S8" t="s">
        <x:v>108</x:v>
      </x:c>
      <x:c r="T8">
        <x:v>6320.4469752311707</x:v>
      </x:c>
      <x:c r="U8" t="s">
        <x:v>109</x:v>
      </x:c>
      <x:c r="V8">
        <x:v>3454.1681482791901</x:v>
      </x:c>
      <x:c r="W8" t="s">
        <x:v>110</x:v>
      </x:c>
      <x:c r="X8">
        <x:v>149.82373118400571</x:v>
      </x:c>
      <x:c r="Y8" t="s">
        <x:v>111</x:v>
      </x:c>
      <x:c r="Z8">
        <x:v>1.5510656833648679</x:v>
      </x:c>
      <x:c r="AA8" t="s">
        <x:v>112</x:v>
      </x:c>
      <x:c r="AB8">
        <x:v>150.91232085227969</x:v>
      </x:c>
      <x:c r="AC8" t="s">
        <x:v>113</x:v>
      </x:c>
      <x:c r="AD8">
        <x:v>180.1959578990936</x:v>
      </x:c>
      <x:c r="AE8" t="s">
        <x:v>114</x:v>
      </x:c>
      <x:c r="AF8">
        <x:v>0</x:v>
      </x:c>
      <x:c r="AG8" t="s">
        <x:v>115</x:v>
      </x:c>
      <x:c r="AH8" t="s">
        <x:v>116</x:v>
      </x:c>
      <x:c r="AI8">
        <x:v>1712.161190428767</x:v>
      </x:c>
      <x:c r="AJ8">
        <x:v>2079.9907349183809</x:v>
      </x:c>
      <x:c r="AK8">
        <x:v>0.17684191487625961</x:v>
      </x:c>
      <x:c r="AM8">
        <x:v>3603.9918794631958</x:v>
      </x:c>
      <x:c r="AO8" t="s">
        <x:v>117</x:v>
      </x:c>
      <x:c r="AP8">
        <x:v>1</x:v>
      </x:c>
      <x:c r="AQ8">
        <x:v>30300</x:v>
      </x:c>
    </x:row>
    <x:row r="9">
      <x:c r="A9" t="s">
        <x:v>106</x:v>
      </x:c>
      <x:c r="B9" t="s">
        <x:v>107</x:v>
      </x:c>
      <x:c r="C9" t="s">
        <x:v>59</x:v>
      </x:c>
      <x:c r="D9" t="b">
        <x:v>0</x:v>
      </x:c>
      <x:c r="E9" t="s">
        <x:v>46</x:v>
      </x:c>
      <x:c r="F9" t="b">
        <x:v>0</x:v>
      </x:c>
      <x:c r="G9" t="s">
        <x:v>47</x:v>
      </x:c>
      <x:c r="H9" t="b">
        <x:v>0</x:v>
      </x:c>
      <x:c r="I9" t="s">
        <x:v>48</x:v>
      </x:c>
      <x:c r="J9" t="b">
        <x:v>0</x:v>
      </x:c>
      <x:c r="K9">
        <x:v>5.783289909362793</x:v>
      </x:c>
      <x:c r="L9">
        <x:v>0.80102801322937012</x:v>
      </x:c>
      <x:c r="M9">
        <x:v>158.54959416389471</x:v>
      </x:c>
      <x:c r="N9">
        <x:v>4.1099999999999999E-3</x:v>
      </x:c>
      <x:c r="O9">
        <x:v>0.37480000000000002</x:v>
      </x:c>
      <x:c r="P9">
        <x:v>1</x:v>
      </x:c>
      <x:c r="Q9">
        <x:v>1</x:v>
      </x:c>
      <x:c r="R9">
        <x:v>1</x:v>
      </x:c>
      <x:c r="S9" t="s">
        <x:v>118</x:v>
      </x:c>
      <x:c r="T9">
        <x:v>4876.3812289237976</x:v>
      </x:c>
      <x:c r="U9" t="s">
        <x:v>119</x:v>
      </x:c>
      <x:c r="V9">
        <x:v>3535.414363622665</x:v>
      </x:c>
      <x:c r="W9" t="s">
        <x:v>120</x:v>
      </x:c>
      <x:c r="X9">
        <x:v>66.09859037399292</x:v>
      </x:c>
      <x:c r="Y9" t="s">
        <x:v>121</x:v>
      </x:c>
      <x:c r="Z9">
        <x:v>0.53200197219848633</x:v>
      </x:c>
      <x:c r="AA9" t="s">
        <x:v>122</x:v>
      </x:c>
      <x:c r="AB9">
        <x:v>62.275960206985467</x:v>
      </x:c>
      <x:c r="AC9" t="s">
        <x:v>123</x:v>
      </x:c>
      <x:c r="AD9">
        <x:v>2.7894973754882809E-5</x:v>
      </x:c>
      <x:c r="AE9" t="s">
        <x:v>96</x:v>
      </x:c>
      <x:c r="AF9">
        <x:v>0</x:v>
      </x:c>
      <x:c r="AG9" t="s">
        <x:v>124</x:v>
      </x:c>
      <x:c r="AH9" t="s">
        <x:v>125</x:v>
      </x:c>
      <x:c r="AI9">
        <x:v>1774.563008774611</x:v>
      </x:c>
      <x:c r="AJ9">
        <x:v>2039.1417640042021</x:v>
      </x:c>
      <x:c r="AK9">
        <x:v>0.12975005460569239</x:v>
      </x:c>
      <x:c r="AM9">
        <x:v>3601.5129539966579</x:v>
      </x:c>
      <x:c r="AN9">
        <x:v>4</x:v>
      </x:c>
      <x:c r="AO9" t="s">
        <x:v>126</x:v>
      </x:c>
      <x:c r="AP9">
        <x:v>1</x:v>
      </x:c>
      <x:c r="AQ9">
        <x:v>30300</x:v>
      </x:c>
    </x:row>
    <x:row r="10">
      <x:c r="A10" t="s">
        <x:v>106</x:v>
      </x:c>
      <x:c r="B10" t="s">
        <x:v>107</x:v>
      </x:c>
      <x:c r="C10" t="s">
        <x:v>70</x:v>
      </x:c>
      <x:c r="D10" t="b">
        <x:v>0</x:v>
      </x:c>
      <x:c r="E10" t="s">
        <x:v>46</x:v>
      </x:c>
      <x:c r="F10" t="b">
        <x:v>0</x:v>
      </x:c>
      <x:c r="G10" t="s">
        <x:v>47</x:v>
      </x:c>
      <x:c r="H10" t="b">
        <x:v>0</x:v>
      </x:c>
      <x:c r="I10" t="s">
        <x:v>48</x:v>
      </x:c>
      <x:c r="J10" t="b">
        <x:v>0</x:v>
      </x:c>
      <x:c r="K10">
        <x:v>5.783289909362793</x:v>
      </x:c>
      <x:c r="L10">
        <x:v>0.77289485931396484</x:v>
      </x:c>
      <x:c r="M10">
        <x:v>162.6718921661377</x:v>
      </x:c>
      <x:c r="N10">
        <x:v>4.1900000000000001E-3</x:v>
      </x:c>
      <x:c r="O10">
        <x:v>0.36358000000000001</x:v>
      </x:c>
      <x:c r="P10">
        <x:v>1</x:v>
      </x:c>
      <x:c r="Q10">
        <x:v>1</x:v>
      </x:c>
      <x:c r="R10">
        <x:v>1</x:v>
      </x:c>
      <x:c r="S10" t="s">
        <x:v>71</x:v>
      </x:c>
      <x:c r="T10">
        <x:v>0</x:v>
      </x:c>
      <x:c r="U10" t="s">
        <x:v>71</x:v>
      </x:c>
      <x:c r="V10">
        <x:v>0</x:v>
      </x:c>
      <x:c r="W10" t="s">
        <x:v>127</x:v>
      </x:c>
      <x:c r="X10">
        <x:v>390.72796201705933</x:v>
      </x:c>
      <x:c r="Y10" t="s">
        <x:v>71</x:v>
      </x:c>
      <x:c r="Z10">
        <x:v>0</x:v>
      </x:c>
      <x:c r="AA10" t="s">
        <x:v>128</x:v>
      </x:c>
      <x:c r="AB10">
        <x:v>360.29098224639893</x:v>
      </x:c>
      <x:c r="AC10" t="s">
        <x:v>71</x:v>
      </x:c>
      <x:c r="AD10">
        <x:v>0</x:v>
      </x:c>
      <x:c r="AE10" t="s">
        <x:v>129</x:v>
      </x:c>
      <x:c r="AF10">
        <x:v>0</x:v>
      </x:c>
      <x:c r="AG10" t="s">
        <x:v>130</x:v>
      </x:c>
      <x:c r="AH10" t="s">
        <x:v>131</x:v>
      </x:c>
      <x:c r="AI10">
        <x:v>1789.5446621814281</x:v>
      </x:c>
      <x:c r="AJ10">
        <x:v>1964.7221135582031</x:v>
      </x:c>
      <x:c r="AK10">
        <x:v>8.9161439252408548E-2</x:v>
      </x:c>
      <x:c r="AM10">
        <x:v>4538.9963824748993</x:v>
      </x:c>
      <x:c r="AN10">
        <x:v>15</x:v>
      </x:c>
      <x:c r="AO10" t="s">
        <x:v>132</x:v>
      </x:c>
      <x:c r="AP10">
        <x:v>0</x:v>
      </x:c>
      <x:c r="AQ10">
        <x:v>30300</x:v>
      </x:c>
    </x:row>
    <x:row r="11">
      <x:c r="A11" t="s">
        <x:v>133</x:v>
      </x:c>
      <x:c r="B11" t="s">
        <x:v>134</x:v>
      </x:c>
      <x:c r="C11" t="s">
        <x:v>45</x:v>
      </x:c>
      <x:c r="D11" t="b">
        <x:v>0</x:v>
      </x:c>
      <x:c r="E11" t="s">
        <x:v>46</x:v>
      </x:c>
      <x:c r="F11" t="b">
        <x:v>0</x:v>
      </x:c>
      <x:c r="G11" t="s">
        <x:v>47</x:v>
      </x:c>
      <x:c r="H11" t="b">
        <x:v>0</x:v>
      </x:c>
      <x:c r="I11" t="s">
        <x:v>48</x:v>
      </x:c>
      <x:c r="J11" t="b">
        <x:v>0</x:v>
      </x:c>
      <x:c r="K11">
        <x:v>8.7590394020080566</x:v>
      </x:c>
      <x:c r="L11">
        <x:v>0.57406449317932129</x:v>
      </x:c>
      <x:c r="M11">
        <x:v>140.64473295211789</x:v>
      </x:c>
      <x:c r="N11">
        <x:v>4.0299999999999997E-3</x:v>
      </x:c>
      <x:c r="O11">
        <x:v>1.6160000000000001E-2</x:v>
      </x:c>
      <x:c r="P11">
        <x:v>1</x:v>
      </x:c>
      <x:c r="Q11">
        <x:v>1</x:v>
      </x:c>
      <x:c r="R11">
        <x:v>1</x:v>
      </x:c>
      <x:c r="S11" t="s">
        <x:v>135</x:v>
      </x:c>
      <x:c r="T11">
        <x:v>3196.1928720474239</x:v>
      </x:c>
      <x:c r="U11" t="s">
        <x:v>136</x:v>
      </x:c>
      <x:c r="V11">
        <x:v>1118.1676752567289</x:v>
      </x:c>
      <x:c r="W11" t="s">
        <x:v>137</x:v>
      </x:c>
      <x:c r="X11">
        <x:v>117.80703639984129</x:v>
      </x:c>
      <x:c r="Y11" t="s">
        <x:v>138</x:v>
      </x:c>
      <x:c r="Z11">
        <x:v>0.8739769458770752</x:v>
      </x:c>
      <x:c r="AA11" t="s">
        <x:v>139</x:v>
      </x:c>
      <x:c r="AB11">
        <x:v>109.5620036125183</x:v>
      </x:c>
      <x:c r="AC11" t="s">
        <x:v>140</x:v>
      </x:c>
      <x:c r="AD11">
        <x:v>109.1526012420654</x:v>
      </x:c>
      <x:c r="AE11" t="s">
        <x:v>141</x:v>
      </x:c>
      <x:c r="AF11">
        <x:v>0</x:v>
      </x:c>
      <x:c r="AG11" t="s">
        <x:v>142</x:v>
      </x:c>
      <x:c r="AH11" t="s">
        <x:v>143</x:v>
      </x:c>
      <x:c r="AI11">
        <x:v>1161.1833038376151</x:v>
      </x:c>
      <x:c r="AJ11">
        <x:v>979.44045796295495</x:v>
      </x:c>
      <x:c r="AK11">
        <x:v>-0.18555782987645211</x:v>
      </x:c>
      <x:c r="AM11">
        <x:v>1235.97471165657</x:v>
      </x:c>
      <x:c r="AO11" t="s">
        <x:v>144</x:v>
      </x:c>
      <x:c r="AP11">
        <x:v>1</x:v>
      </x:c>
      <x:c r="AQ11">
        <x:v>30050</x:v>
      </x:c>
    </x:row>
    <x:row r="12">
      <x:c r="A12" t="s">
        <x:v>133</x:v>
      </x:c>
      <x:c r="B12" t="s">
        <x:v>134</x:v>
      </x:c>
      <x:c r="C12" t="s">
        <x:v>59</x:v>
      </x:c>
      <x:c r="D12" t="b">
        <x:v>0</x:v>
      </x:c>
      <x:c r="E12" t="s">
        <x:v>46</x:v>
      </x:c>
      <x:c r="F12" t="b">
        <x:v>0</x:v>
      </x:c>
      <x:c r="G12" t="s">
        <x:v>47</x:v>
      </x:c>
      <x:c r="H12" t="b">
        <x:v>0</x:v>
      </x:c>
      <x:c r="I12" t="s">
        <x:v>48</x:v>
      </x:c>
      <x:c r="J12" t="b">
        <x:v>0</x:v>
      </x:c>
      <x:c r="K12">
        <x:v>8.7590394020080566</x:v>
      </x:c>
      <x:c r="L12">
        <x:v>0.70494937896728516</x:v>
      </x:c>
      <x:c r="M12">
        <x:v>150.09552073478699</x:v>
      </x:c>
      <x:c r="N12">
        <x:v>4.1000000000000003E-3</x:v>
      </x:c>
      <x:c r="O12">
        <x:v>0.63080999999999998</x:v>
      </x:c>
      <x:c r="P12">
        <x:v>1</x:v>
      </x:c>
      <x:c r="Q12">
        <x:v>1</x:v>
      </x:c>
      <x:c r="R12">
        <x:v>1</x:v>
      </x:c>
      <x:c r="S12" t="s">
        <x:v>145</x:v>
      </x:c>
      <x:c r="T12">
        <x:v>5099.3143877983093</x:v>
      </x:c>
      <x:c r="U12" t="s">
        <x:v>146</x:v>
      </x:c>
      <x:c r="V12">
        <x:v>3519.4842882156372</x:v>
      </x:c>
      <x:c r="W12" t="s">
        <x:v>147</x:v>
      </x:c>
      <x:c r="X12">
        <x:v>82.851680040359497</x:v>
      </x:c>
      <x:c r="Y12" t="s">
        <x:v>148</x:v>
      </x:c>
      <x:c r="Z12">
        <x:v>0.79593563079833984</x:v>
      </x:c>
      <x:c r="AA12" t="s">
        <x:v>149</x:v>
      </x:c>
      <x:c r="AB12">
        <x:v>83.931724309921265</x:v>
      </x:c>
      <x:c r="AC12" t="s">
        <x:v>150</x:v>
      </x:c>
      <x:c r="AD12">
        <x:v>3.3617019653320313E-5</x:v>
      </x:c>
      <x:c r="AE12" t="s">
        <x:v>66</x:v>
      </x:c>
      <x:c r="AF12">
        <x:v>0</x:v>
      </x:c>
      <x:c r="AG12" t="s">
        <x:v>151</x:v>
      </x:c>
      <x:c r="AH12" t="s">
        <x:v>152</x:v>
      </x:c>
      <x:c r="AI12">
        <x:v>1161.1833038376151</x:v>
      </x:c>
      <x:c r="AJ12">
        <x:v>946.87337926586406</x:v>
      </x:c>
      <x:c r="AK12">
        <x:v>9.2472293782725618E-2</x:v>
      </x:c>
      <x:c r="AM12">
        <x:v>3602.3359682559972</x:v>
      </x:c>
      <x:c r="AN12">
        <x:v>5</x:v>
      </x:c>
      <x:c r="AO12" t="s">
        <x:v>153</x:v>
      </x:c>
      <x:c r="AP12">
        <x:v>1</x:v>
      </x:c>
      <x:c r="AQ12">
        <x:v>30050</x:v>
      </x:c>
    </x:row>
    <x:row r="13">
      <x:c r="A13" t="s">
        <x:v>133</x:v>
      </x:c>
      <x:c r="B13" t="s">
        <x:v>134</x:v>
      </x:c>
      <x:c r="C13" t="s">
        <x:v>70</x:v>
      </x:c>
      <x:c r="D13" t="b">
        <x:v>0</x:v>
      </x:c>
      <x:c r="E13" t="s">
        <x:v>46</x:v>
      </x:c>
      <x:c r="F13" t="b">
        <x:v>0</x:v>
      </x:c>
      <x:c r="G13" t="s">
        <x:v>47</x:v>
      </x:c>
      <x:c r="H13" t="b">
        <x:v>0</x:v>
      </x:c>
      <x:c r="I13" t="s">
        <x:v>48</x:v>
      </x:c>
      <x:c r="J13" t="b">
        <x:v>0</x:v>
      </x:c>
      <x:c r="K13">
        <x:v>8.7590394020080566</x:v>
      </x:c>
      <x:c r="L13">
        <x:v>0.66357707977294922</x:v>
      </x:c>
      <x:c r="M13">
        <x:v>150.0708327293396</x:v>
      </x:c>
      <x:c r="N13">
        <x:v>4.0400000000000002E-3</x:v>
      </x:c>
      <x:c r="O13">
        <x:v>0.39800000000000002</x:v>
      </x:c>
      <x:c r="P13">
        <x:v>1</x:v>
      </x:c>
      <x:c r="Q13">
        <x:v>1</x:v>
      </x:c>
      <x:c r="R13">
        <x:v>1</x:v>
      </x:c>
      <x:c r="S13" t="s">
        <x:v>71</x:v>
      </x:c>
      <x:c r="T13">
        <x:v>0</x:v>
      </x:c>
      <x:c r="U13" t="s">
        <x:v>71</x:v>
      </x:c>
      <x:c r="V13">
        <x:v>0</x:v>
      </x:c>
      <x:c r="W13" t="s">
        <x:v>154</x:v>
      </x:c>
      <x:c r="X13">
        <x:v>369.13426828384399</x:v>
      </x:c>
      <x:c r="Y13" t="s">
        <x:v>71</x:v>
      </x:c>
      <x:c r="Z13">
        <x:v>0</x:v>
      </x:c>
      <x:c r="AA13" t="s">
        <x:v>155</x:v>
      </x:c>
      <x:c r="AB13">
        <x:v>354.40067005157471</x:v>
      </x:c>
      <x:c r="AC13" t="s">
        <x:v>71</x:v>
      </x:c>
      <x:c r="AD13">
        <x:v>0</x:v>
      </x:c>
      <x:c r="AE13" t="s">
        <x:v>129</x:v>
      </x:c>
      <x:c r="AF13">
        <x:v>0</x:v>
      </x:c>
      <x:c r="AG13" t="s">
        <x:v>156</x:v>
      </x:c>
      <x:c r="AH13" t="s">
        <x:v>157</x:v>
      </x:c>
      <x:c r="AI13">
        <x:v>850.59624838730099</x:v>
      </x:c>
      <x:c r="AJ13">
        <x:v>943.75147719309575</x:v>
      </x:c>
      <x:c r="AK13">
        <x:v>9.870737270988951E-2</x:v>
      </x:c>
      <x:c r="AM13">
        <x:v>5423.9154515266418</x:v>
      </x:c>
      <x:c r="AN13">
        <x:v>15</x:v>
      </x:c>
      <x:c r="AO13" t="s">
        <x:v>158</x:v>
      </x:c>
      <x:c r="AP13">
        <x:v>0</x:v>
      </x:c>
      <x:c r="AQ13">
        <x:v>30050</x:v>
      </x:c>
    </x:row>
    <x:row r="14">
      <x:c r="A14" t="s">
        <x:v>159</x:v>
      </x:c>
      <x:c r="B14" t="s">
        <x:v>160</x:v>
      </x:c>
      <x:c r="C14" t="s">
        <x:v>45</x:v>
      </x:c>
      <x:c r="D14" t="b">
        <x:v>0</x:v>
      </x:c>
      <x:c r="E14" t="s">
        <x:v>46</x:v>
      </x:c>
      <x:c r="F14" t="b">
        <x:v>0</x:v>
      </x:c>
      <x:c r="G14" t="s">
        <x:v>47</x:v>
      </x:c>
      <x:c r="H14" t="b">
        <x:v>0</x:v>
      </x:c>
      <x:c r="I14" t="s">
        <x:v>48</x:v>
      </x:c>
      <x:c r="J14" t="b">
        <x:v>0</x:v>
      </x:c>
      <x:c r="K14">
        <x:v>5.8432960510253906</x:v>
      </x:c>
      <x:c r="L14">
        <x:v>0.65252375602722168</x:v>
      </x:c>
      <x:c r="M14">
        <x:v>141.12478375434881</x:v>
      </x:c>
      <x:c r="N14">
        <x:v>4.0699999999999998E-3</x:v>
      </x:c>
      <x:c r="O14">
        <x:v>9.7143499999999996</x:v>
      </x:c>
      <x:c r="P14">
        <x:v>1</x:v>
      </x:c>
      <x:c r="Q14">
        <x:v>1</x:v>
      </x:c>
      <x:c r="R14">
        <x:v>1</x:v>
      </x:c>
      <x:c r="S14" t="s">
        <x:v>161</x:v>
      </x:c>
      <x:c r="T14">
        <x:v>5981.7429416179657</x:v>
      </x:c>
      <x:c r="U14" t="s">
        <x:v>162</x:v>
      </x:c>
      <x:c r="V14">
        <x:v>3475.4735472202301</x:v>
      </x:c>
      <x:c r="W14" t="s">
        <x:v>163</x:v>
      </x:c>
      <x:c r="X14">
        <x:v>135.84960126876831</x:v>
      </x:c>
      <x:c r="Y14" t="s">
        <x:v>164</x:v>
      </x:c>
      <x:c r="Z14">
        <x:v>1.408703565597534</x:v>
      </x:c>
      <x:c r="AA14" t="s">
        <x:v>165</x:v>
      </x:c>
      <x:c r="AB14">
        <x:v>121.1644010543823</x:v>
      </x:c>
      <x:c r="AC14" t="s">
        <x:v>166</x:v>
      </x:c>
      <x:c r="AD14">
        <x:v>122.858229637146</x:v>
      </x:c>
      <x:c r="AE14" t="s">
        <x:v>114</x:v>
      </x:c>
      <x:c r="AF14">
        <x:v>0</x:v>
      </x:c>
      <x:c r="AG14" t="s">
        <x:v>167</x:v>
      </x:c>
      <x:c r="AH14" t="s">
        <x:v>168</x:v>
      </x:c>
      <x:c r="AI14">
        <x:v>1250.1947717662119</x:v>
      </x:c>
      <x:c r="AJ14">
        <x:v>1524.745437830753</x:v>
      </x:c>
      <x:c r="AK14">
        <x:v>0.1800632808931972</x:v>
      </x:c>
      <x:c r="AM14">
        <x:v>3611.323148488998</x:v>
      </x:c>
      <x:c r="AO14" t="s">
        <x:v>169</x:v>
      </x:c>
      <x:c r="AP14">
        <x:v>1</x:v>
      </x:c>
      <x:c r="AQ14">
        <x:v>26850</x:v>
      </x:c>
    </x:row>
    <x:row r="15">
      <x:c r="A15" t="s">
        <x:v>159</x:v>
      </x:c>
      <x:c r="B15" t="s">
        <x:v>160</x:v>
      </x:c>
      <x:c r="C15" t="s">
        <x:v>59</x:v>
      </x:c>
      <x:c r="D15" t="b">
        <x:v>0</x:v>
      </x:c>
      <x:c r="E15" t="s">
        <x:v>46</x:v>
      </x:c>
      <x:c r="F15" t="b">
        <x:v>0</x:v>
      </x:c>
      <x:c r="G15" t="s">
        <x:v>47</x:v>
      </x:c>
      <x:c r="H15" t="b">
        <x:v>0</x:v>
      </x:c>
      <x:c r="I15" t="s">
        <x:v>48</x:v>
      </x:c>
      <x:c r="J15" t="b">
        <x:v>0</x:v>
      </x:c>
      <x:c r="K15">
        <x:v>5.8432960510253906</x:v>
      </x:c>
      <x:c r="L15">
        <x:v>0.66072487831115723</x:v>
      </x:c>
      <x:c r="M15">
        <x:v>132.10666275024411</x:v>
      </x:c>
      <x:c r="N15">
        <x:v>4.0800000000000003E-3</x:v>
      </x:c>
      <x:c r="O15">
        <x:v>0.63007000000000002</x:v>
      </x:c>
      <x:c r="P15">
        <x:v>1</x:v>
      </x:c>
      <x:c r="Q15">
        <x:v>1</x:v>
      </x:c>
      <x:c r="R15">
        <x:v>1</x:v>
      </x:c>
      <x:c r="S15" t="s">
        <x:v>170</x:v>
      </x:c>
      <x:c r="T15">
        <x:v>5014.7031357288361</x:v>
      </x:c>
      <x:c r="U15" t="s">
        <x:v>171</x:v>
      </x:c>
      <x:c r="V15">
        <x:v>3525.6321682929988</x:v>
      </x:c>
      <x:c r="W15" t="s">
        <x:v>172</x:v>
      </x:c>
      <x:c r="X15">
        <x:v>78.197404861450195</x:v>
      </x:c>
      <x:c r="Y15" t="s">
        <x:v>173</x:v>
      </x:c>
      <x:c r="Z15">
        <x:v>0.77445006370544434</x:v>
      </x:c>
      <x:c r="AA15" t="s">
        <x:v>174</x:v>
      </x:c>
      <x:c r="AB15">
        <x:v>69.064270496368408</x:v>
      </x:c>
      <x:c r="AC15" t="s">
        <x:v>175</x:v>
      </x:c>
      <x:c r="AD15">
        <x:v>5.0067901611328118E-5</x:v>
      </x:c>
      <x:c r="AE15" t="s">
        <x:v>66</x:v>
      </x:c>
      <x:c r="AF15">
        <x:v>0</x:v>
      </x:c>
      <x:c r="AG15" t="s">
        <x:v>176</x:v>
      </x:c>
      <x:c r="AH15" t="s">
        <x:v>177</x:v>
      </x:c>
      <x:c r="AI15">
        <x:v>1323.777008817603</x:v>
      </x:c>
      <x:c r="AJ15">
        <x:v>1472.4278172750419</x:v>
      </x:c>
      <x:c r="AK15">
        <x:v>0.1042323141764048</x:v>
      </x:c>
      <x:c r="AM15">
        <x:v>3603.829573154449</x:v>
      </x:c>
      <x:c r="AN15">
        <x:v>5</x:v>
      </x:c>
      <x:c r="AO15" t="s">
        <x:v>178</x:v>
      </x:c>
      <x:c r="AP15">
        <x:v>1</x:v>
      </x:c>
      <x:c r="AQ15">
        <x:v>26850</x:v>
      </x:c>
    </x:row>
    <x:row r="16">
      <x:c r="A16" t="s">
        <x:v>159</x:v>
      </x:c>
      <x:c r="B16" t="s">
        <x:v>160</x:v>
      </x:c>
      <x:c r="C16" t="s">
        <x:v>70</x:v>
      </x:c>
      <x:c r="D16" t="b">
        <x:v>0</x:v>
      </x:c>
      <x:c r="E16" t="s">
        <x:v>46</x:v>
      </x:c>
      <x:c r="F16" t="b">
        <x:v>0</x:v>
      </x:c>
      <x:c r="G16" t="s">
        <x:v>47</x:v>
      </x:c>
      <x:c r="H16" t="b">
        <x:v>0</x:v>
      </x:c>
      <x:c r="I16" t="s">
        <x:v>48</x:v>
      </x:c>
      <x:c r="J16" t="b">
        <x:v>0</x:v>
      </x:c>
      <x:c r="K16">
        <x:v>5.8432960510253906</x:v>
      </x:c>
      <x:c r="L16">
        <x:v>0.68554067611694336</x:v>
      </x:c>
      <x:c r="M16">
        <x:v>134.3846364021301</x:v>
      </x:c>
      <x:c r="N16">
        <x:v>4.1200000000000004E-3</x:v>
      </x:c>
      <x:c r="O16">
        <x:v>0.68896999999999997</x:v>
      </x:c>
      <x:c r="P16">
        <x:v>1</x:v>
      </x:c>
      <x:c r="Q16">
        <x:v>1</x:v>
      </x:c>
      <x:c r="R16">
        <x:v>1</x:v>
      </x:c>
      <x:c r="S16" t="s">
        <x:v>71</x:v>
      </x:c>
      <x:c r="T16">
        <x:v>0</x:v>
      </x:c>
      <x:c r="U16" t="s">
        <x:v>71</x:v>
      </x:c>
      <x:c r="V16">
        <x:v>0</x:v>
      </x:c>
      <x:c r="W16" t="s">
        <x:v>179</x:v>
      </x:c>
      <x:c r="X16">
        <x:v>333.75437569618231</x:v>
      </x:c>
      <x:c r="Y16" t="s">
        <x:v>71</x:v>
      </x:c>
      <x:c r="Z16">
        <x:v>0</x:v>
      </x:c>
      <x:c r="AA16" t="s">
        <x:v>180</x:v>
      </x:c>
      <x:c r="AB16">
        <x:v>280.23439764976501</x:v>
      </x:c>
      <x:c r="AC16" t="s">
        <x:v>71</x:v>
      </x:c>
      <x:c r="AD16">
        <x:v>0</x:v>
      </x:c>
      <x:c r="AE16" t="s">
        <x:v>129</x:v>
      </x:c>
      <x:c r="AF16">
        <x:v>0</x:v>
      </x:c>
      <x:c r="AG16" t="s">
        <x:v>181</x:v>
      </x:c>
      <x:c r="AH16" t="s">
        <x:v>182</x:v>
      </x:c>
      <x:c r="AI16">
        <x:v>1325.2101421340681</x:v>
      </x:c>
      <x:c r="AJ16">
        <x:v>1458.1181839357521</x:v>
      </x:c>
      <x:c r="AK16">
        <x:v>9.1150390458767175E-2</x:v>
      </x:c>
      <x:c r="AM16">
        <x:v>5607.7138464450836</x:v>
      </x:c>
      <x:c r="AN16">
        <x:v>15</x:v>
      </x:c>
      <x:c r="AO16" t="s">
        <x:v>183</x:v>
      </x:c>
      <x:c r="AP16">
        <x:v>0</x:v>
      </x:c>
      <x:c r="AQ16">
        <x:v>26850</x:v>
      </x:c>
    </x:row>
    <x:row r="17">
      <x:c r="A17" t="s">
        <x:v>184</x:v>
      </x:c>
      <x:c r="B17" t="s">
        <x:v>185</x:v>
      </x:c>
      <x:c r="C17" t="s">
        <x:v>45</x:v>
      </x:c>
      <x:c r="D17" t="b">
        <x:v>0</x:v>
      </x:c>
      <x:c r="E17" t="s">
        <x:v>46</x:v>
      </x:c>
      <x:c r="F17" t="b">
        <x:v>0</x:v>
      </x:c>
      <x:c r="G17" t="s">
        <x:v>47</x:v>
      </x:c>
      <x:c r="H17" t="b">
        <x:v>0</x:v>
      </x:c>
      <x:c r="I17" t="s">
        <x:v>48</x:v>
      </x:c>
      <x:c r="J17" t="b">
        <x:v>0</x:v>
      </x:c>
      <x:c r="K17">
        <x:v>8.7396347522735596</x:v>
      </x:c>
      <x:c r="L17">
        <x:v>0.61545228958129883</x:v>
      </x:c>
      <x:c r="M17">
        <x:v>159.74807548522949</x:v>
      </x:c>
      <x:c r="N17">
        <x:v>4.0400000000000002E-3</x:v>
      </x:c>
      <x:c r="O17">
        <x:v>1.559E-2</x:v>
      </x:c>
      <x:c r="P17">
        <x:v>1</x:v>
      </x:c>
      <x:c r="Q17">
        <x:v>1</x:v>
      </x:c>
      <x:c r="R17">
        <x:v>1</x:v>
      </x:c>
      <x:c r="S17" t="s">
        <x:v>186</x:v>
      </x:c>
      <x:c r="T17">
        <x:v>6605.0594611167908</x:v>
      </x:c>
      <x:c r="U17" t="s">
        <x:v>187</x:v>
      </x:c>
      <x:c r="V17">
        <x:v>3451.2051720619202</x:v>
      </x:c>
      <x:c r="W17" t="s">
        <x:v>188</x:v>
      </x:c>
      <x:c r="X17">
        <x:v>165.37423324584961</x:v>
      </x:c>
      <x:c r="Y17" t="s">
        <x:v>189</x:v>
      </x:c>
      <x:c r="Z17">
        <x:v>1.510723352432251</x:v>
      </x:c>
      <x:c r="AA17" t="s">
        <x:v>190</x:v>
      </x:c>
      <x:c r="AB17">
        <x:v>189.91432881355291</x:v>
      </x:c>
      <x:c r="AC17" t="s">
        <x:v>191</x:v>
      </x:c>
      <x:c r="AD17">
        <x:v>142.09632992744449</x:v>
      </x:c>
      <x:c r="AE17" t="s">
        <x:v>114</x:v>
      </x:c>
      <x:c r="AF17">
        <x:v>0</x:v>
      </x:c>
      <x:c r="AG17" t="s">
        <x:v>192</x:v>
      </x:c>
      <x:c r="AH17" t="s">
        <x:v>193</x:v>
      </x:c>
      <x:c r="AI17">
        <x:v>962.51497629767039</x:v>
      </x:c>
      <x:c r="AJ17">
        <x:v>1088.409909908595</x:v>
      </x:c>
      <x:c r="AK17">
        <x:v>0.11566867635405891</x:v>
      </x:c>
      <x:c r="AM17">
        <x:v>3616.5794053077698</x:v>
      </x:c>
      <x:c r="AO17" t="s">
        <x:v>194</x:v>
      </x:c>
      <x:c r="AP17">
        <x:v>1</x:v>
      </x:c>
      <x:c r="AQ17">
        <x:v>33950</x:v>
      </x:c>
    </x:row>
    <x:row r="18">
      <x:c r="A18" t="s">
        <x:v>184</x:v>
      </x:c>
      <x:c r="B18" t="s">
        <x:v>185</x:v>
      </x:c>
      <x:c r="C18" t="s">
        <x:v>59</x:v>
      </x:c>
      <x:c r="D18" t="b">
        <x:v>0</x:v>
      </x:c>
      <x:c r="E18" t="s">
        <x:v>46</x:v>
      </x:c>
      <x:c r="F18" t="b">
        <x:v>0</x:v>
      </x:c>
      <x:c r="G18" t="s">
        <x:v>47</x:v>
      </x:c>
      <x:c r="H18" t="b">
        <x:v>0</x:v>
      </x:c>
      <x:c r="I18" t="s">
        <x:v>48</x:v>
      </x:c>
      <x:c r="J18" t="b">
        <x:v>0</x:v>
      </x:c>
      <x:c r="K18">
        <x:v>8.7396347522735596</x:v>
      </x:c>
      <x:c r="L18">
        <x:v>0.75783562660217285</x:v>
      </x:c>
      <x:c r="M18">
        <x:v>177.56079459190369</x:v>
      </x:c>
      <x:c r="N18">
        <x:v>4.1999999999999997E-3</x:v>
      </x:c>
      <x:c r="O18">
        <x:v>0.28266999999999998</x:v>
      </x:c>
      <x:c r="P18">
        <x:v>1</x:v>
      </x:c>
      <x:c r="Q18">
        <x:v>1</x:v>
      </x:c>
      <x:c r="R18">
        <x:v>1</x:v>
      </x:c>
      <x:c r="S18" t="s">
        <x:v>195</x:v>
      </x:c>
      <x:c r="T18">
        <x:v>5341.3997910022736</x:v>
      </x:c>
      <x:c r="U18" t="s">
        <x:v>196</x:v>
      </x:c>
      <x:c r="V18">
        <x:v>3514.93838763237</x:v>
      </x:c>
      <x:c r="W18" t="s">
        <x:v>197</x:v>
      </x:c>
      <x:c r="X18">
        <x:v>91.182586193084717</x:v>
      </x:c>
      <x:c r="Y18" t="s">
        <x:v>198</x:v>
      </x:c>
      <x:c r="Z18">
        <x:v>0.75925397872924805</x:v>
      </x:c>
      <x:c r="AA18" t="s">
        <x:v>199</x:v>
      </x:c>
      <x:c r="AB18">
        <x:v>107.2894566059113</x:v>
      </x:c>
      <x:c r="AC18" t="s">
        <x:v>200</x:v>
      </x:c>
      <x:c r="AD18">
        <x:v>3.0279159545898441E-5</x:v>
      </x:c>
      <x:c r="AE18" t="s">
        <x:v>66</x:v>
      </x:c>
      <x:c r="AF18">
        <x:v>0</x:v>
      </x:c>
      <x:c r="AG18" t="s">
        <x:v>201</x:v>
      </x:c>
      <x:c r="AH18" t="s">
        <x:v>202</x:v>
      </x:c>
      <x:c r="AI18">
        <x:v>960.66934130396578</x:v>
      </x:c>
      <x:c r="AJ18">
        <x:v>1100.707412016385</x:v>
      </x:c>
      <x:c r="AK18">
        <x:v>0.1838329423452128</x:v>
      </x:c>
      <x:c r="AM18">
        <x:v>3606.1209738254552</x:v>
      </x:c>
      <x:c r="AN18">
        <x:v>5</x:v>
      </x:c>
      <x:c r="AO18" t="s">
        <x:v>203</x:v>
      </x:c>
      <x:c r="AP18">
        <x:v>1</x:v>
      </x:c>
      <x:c r="AQ18">
        <x:v>33950</x:v>
      </x:c>
    </x:row>
    <x:row r="19">
      <x:c r="A19" t="s">
        <x:v>184</x:v>
      </x:c>
      <x:c r="B19" t="s">
        <x:v>185</x:v>
      </x:c>
      <x:c r="C19" t="s">
        <x:v>70</x:v>
      </x:c>
      <x:c r="D19" t="b">
        <x:v>0</x:v>
      </x:c>
      <x:c r="E19" t="s">
        <x:v>46</x:v>
      </x:c>
      <x:c r="F19" t="b">
        <x:v>0</x:v>
      </x:c>
      <x:c r="G19" t="s">
        <x:v>47</x:v>
      </x:c>
      <x:c r="H19" t="b">
        <x:v>0</x:v>
      </x:c>
      <x:c r="I19" t="s">
        <x:v>48</x:v>
      </x:c>
      <x:c r="J19" t="b">
        <x:v>0</x:v>
      </x:c>
      <x:c r="K19">
        <x:v>8.7396347522735596</x:v>
      </x:c>
      <x:c r="L19">
        <x:v>0.79939913749694824</x:v>
      </x:c>
      <x:c r="M19">
        <x:v>173.63898205757141</x:v>
      </x:c>
      <x:c r="N19">
        <x:v>4.0400000000000002E-3</x:v>
      </x:c>
      <x:c r="O19">
        <x:v>0.39057999999999998</x:v>
      </x:c>
      <x:c r="P19">
        <x:v>1</x:v>
      </x:c>
      <x:c r="Q19">
        <x:v>1</x:v>
      </x:c>
      <x:c r="R19">
        <x:v>1</x:v>
      </x:c>
      <x:c r="S19" t="s">
        <x:v>71</x:v>
      </x:c>
      <x:c r="T19">
        <x:v>0</x:v>
      </x:c>
      <x:c r="U19" t="s">
        <x:v>71</x:v>
      </x:c>
      <x:c r="V19">
        <x:v>0</x:v>
      </x:c>
      <x:c r="W19" t="s">
        <x:v>204</x:v>
      </x:c>
      <x:c r="X19">
        <x:v>363.70476841926569</x:v>
      </x:c>
      <x:c r="Y19" t="s">
        <x:v>71</x:v>
      </x:c>
      <x:c r="Z19">
        <x:v>0</x:v>
      </x:c>
      <x:c r="AA19" t="s">
        <x:v>205</x:v>
      </x:c>
      <x:c r="AB19">
        <x:v>389.73399114608759</x:v>
      </x:c>
      <x:c r="AC19" t="s">
        <x:v>71</x:v>
      </x:c>
      <x:c r="AD19">
        <x:v>0</x:v>
      </x:c>
      <x:c r="AE19" t="s">
        <x:v>206</x:v>
      </x:c>
      <x:c r="AF19">
        <x:v>0</x:v>
      </x:c>
      <x:c r="AG19" t="s">
        <x:v>207</x:v>
      </x:c>
      <x:c r="AH19" t="s">
        <x:v>208</x:v>
      </x:c>
      <x:c r="AI19">
        <x:v>971.62720565890356</x:v>
      </x:c>
      <x:c r="AJ19">
        <x:v>1087.853415324648</x:v>
      </x:c>
      <x:c r="AK19">
        <x:v>0.1068399547470196</x:v>
      </x:c>
      <x:c r="AM19">
        <x:v>5097.3871762752533</x:v>
      </x:c>
      <x:c r="AN19">
        <x:v>13</x:v>
      </x:c>
      <x:c r="AO19" t="s">
        <x:v>209</x:v>
      </x:c>
      <x:c r="AP19">
        <x:v>3</x:v>
      </x:c>
      <x:c r="AQ19">
        <x:v>33950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5"/>
  <x:cols>
    <x:col min="1" max="1" width="63.75" customWidth="1"/>
    <x:col min="2" max="2" width="29.5" customWidth="1"/>
    <x:col min="3" max="4" width="12.75" customWidth="1"/>
    <x:col min="5" max="5" width="12.75" customWidth="1"/>
    <x:col min="6" max="7" width="12.75" customWidth="1"/>
    <x:col min="8" max="9" width="12.75" customWidth="1"/>
    <x:col min="10" max="10" width="9.625" customWidth="1"/>
    <x:col min="11" max="11" width="19.5" customWidth="1"/>
    <x:col min="28" max="28" width="126.625" style="6" customWidth="1"/>
    <x:col min="29" max="29" width="6.5" style="6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2" t="s">
        <x:v>34</x:v>
      </x:c>
      <x:c r="E1" s="2" t="s">
        <x:v>210</x:v>
      </x:c>
      <x:c r="F1" s="1" t="s">
        <x:v>35</x:v>
      </x:c>
      <x:c r="G1" s="1" t="s">
        <x:v>36</x:v>
      </x:c>
      <x:c r="H1" s="2" t="s">
        <x:v>211</x:v>
      </x:c>
      <x:c r="I1" s="2" t="s">
        <x:v>212</x:v>
      </x:c>
      <x:c r="J1" s="1" t="s">
        <x:v>37</x:v>
      </x:c>
      <x:c r="K1" s="1" t="s">
        <x:v>38</x:v>
      </x:c>
      <x:c r="L1" s="1" t="s">
        <x:v>10</x:v>
      </x:c>
      <x:c r="M1" s="1" t="s">
        <x:v>11</x:v>
      </x:c>
      <x:c r="N1" s="1" t="s">
        <x:v>18</x:v>
      </x:c>
      <x:c r="O1" s="1" t="s">
        <x:v>19</x:v>
      </x:c>
      <x:c r="P1" s="1" t="s">
        <x:v>20</x:v>
      </x:c>
      <x:c r="Q1" s="1" t="s">
        <x:v>21</x:v>
      </x:c>
      <x:c r="R1" s="1" t="s">
        <x:v>22</x:v>
      </x:c>
      <x:c r="S1" s="1" t="s">
        <x:v>23</x:v>
      </x:c>
      <x:c r="T1" s="1" t="s">
        <x:v>24</x:v>
      </x:c>
      <x:c r="U1" s="1" t="s">
        <x:v>25</x:v>
      </x:c>
      <x:c r="V1" s="1" t="s">
        <x:v>26</x:v>
      </x:c>
      <x:c r="W1" s="1" t="s">
        <x:v>27</x:v>
      </x:c>
      <x:c r="X1" s="1" t="s">
        <x:v>28</x:v>
      </x:c>
      <x:c r="Y1" s="1" t="s">
        <x:v>29</x:v>
      </x:c>
      <x:c r="Z1" s="1" t="s">
        <x:v>30</x:v>
      </x:c>
      <x:c r="AA1" s="1" t="s">
        <x:v>31</x:v>
      </x:c>
      <x:c r="AB1" s="5" t="s">
        <x:v>32</x:v>
      </x:c>
      <x:c r="AC1" s="10" t="s">
        <x:v>213</x:v>
      </x:c>
      <x:c r="AD1" s="1" t="s">
        <x:v>33</x:v>
      </x:c>
      <x:c r="AE1" s="1" t="s">
        <x:v>39</x:v>
      </x:c>
      <x:c r="AF1" s="1" t="s">
        <x:v>40</x:v>
      </x:c>
      <x:c r="AG1" s="1" t="s">
        <x:v>41</x:v>
      </x:c>
      <x:c r="AH1" s="1" t="s">
        <x:v>42</x:v>
      </x:c>
    </x:row>
    <x:row r="2">
      <x:c r="A2" t="s">
        <x:v>43</x:v>
      </x:c>
      <x:c r="B2" t="s">
        <x:v>44</x:v>
      </x:c>
      <x:c r="C2" t="s">
        <x:v>45</x:v>
      </x:c>
      <x:c r="D2">
        <x:v>659.42835371532806</x:v>
      </x:c>
      <x:c r="E2" s="6">
        <x:v>659.42835371532794</x:v>
      </x:c>
      <x:c r="F2">
        <x:v>712.16542499561831</x:v>
      </x:c>
      <x:c r="G2">
        <x:v>7.4051715273700913E-2</x:v>
      </x:c>
      <x:c r="H2" t="n">
        <x:f>(F2-E2)/F2</x:f>
        <x:v>0.07405171527474089</x:v>
      </x:c>
      <x:c r="I2" t="n">
        <x:f>ABS(G2-H2)</x:f>
        <x:v>1.0399736627419998e-12</x:v>
      </x:c>
      <x:c r="K2">
        <x:v>3607.5695505142212</x:v>
      </x:c>
      <x:c r="L2">
        <x:v>5.8334519863128662</x:v>
      </x:c>
      <x:c r="M2">
        <x:v>0.37046504020690918</x:v>
      </x:c>
      <x:c r="N2" t="s">
        <x:v>49</x:v>
      </x:c>
      <x:c r="O2">
        <x:v>5390.2124798297882</x:v>
      </x:c>
      <x:c r="P2" t="s">
        <x:v>50</x:v>
      </x:c>
      <x:c r="Q2">
        <x:v>3488.6024398803711</x:v>
      </x:c>
      <x:c r="R2" t="s">
        <x:v>51</x:v>
      </x:c>
      <x:c r="S2">
        <x:v>118.9671106338501</x:v>
      </x:c>
      <x:c r="T2" t="s">
        <x:v>52</x:v>
      </x:c>
      <x:c r="U2">
        <x:v>0.97280597686767578</x:v>
      </x:c>
      <x:c r="V2" t="s">
        <x:v>53</x:v>
      </x:c>
      <x:c r="W2">
        <x:v>51.905662775039673</x:v>
      </x:c>
      <x:c r="X2" t="s">
        <x:v>54</x:v>
      </x:c>
      <x:c r="Y2">
        <x:v>48.890751123428338</x:v>
      </x:c>
      <x:c r="Z2" t="s">
        <x:v>55</x:v>
      </x:c>
      <x:c r="AA2">
        <x:v>0</x:v>
      </x:c>
      <x:c r="AB2" s="6" t="s">
        <x:v>56</x:v>
      </x:c>
      <x:c r="AC2" s="6">
        <x:v>659.42835371532794</x:v>
      </x:c>
      <x:c r="AD2" t="s">
        <x:v>57</x:v>
      </x:c>
      <x:c r="AF2" t="s">
        <x:v>58</x:v>
      </x:c>
      <x:c r="AG2">
        <x:v>1</x:v>
      </x:c>
      <x:c r="AH2">
        <x:v>15030</x:v>
      </x:c>
    </x:row>
    <x:row r="3" s="7" customFormat="1">
      <x:c r="A3" s="7" t="s">
        <x:v>43</x:v>
      </x:c>
      <x:c r="B3" s="7" t="s">
        <x:v>44</x:v>
      </x:c>
      <x:c r="C3" s="8" t="s">
        <x:v>59</x:v>
      </x:c>
      <x:c r="D3" s="7">
        <x:v>960.68209273480022</x:v>
      </x:c>
      <x:c r="E3" s="7">
        <x:v>653.35576616644801</x:v>
      </x:c>
      <x:c r="F3" s="7">
        <x:v>712.17174176169033</x:v>
      </x:c>
      <x:c r="G3" s="7">
        <x:v>8.2586786508719534E-2</x:v>
      </x:c>
      <x:c r="H3" t="n">
        <x:f t="shared" ref="H3:H19" si="0">(F3-E3)/F3</x:f>
        <x:v>0.0825867865098803</x:v>
      </x:c>
      <x:c r="I3" s="9" t="n">
        <x:f t="shared" ref="I3:I19" si="1">ABS(G3-H3)</x:f>
        <x:v>1.1607659278212168e-12</x:v>
      </x:c>
      <x:c r="K3" s="7">
        <x:v>3600.5545792579651</x:v>
      </x:c>
      <x:c r="L3" s="7">
        <x:v>5.8334519863128662</x:v>
      </x:c>
      <x:c r="M3" s="7">
        <x:v>0.36727309226989752</x:v>
      </x:c>
      <x:c r="N3" s="7" t="s">
        <x:v>60</x:v>
      </x:c>
      <x:c r="O3" s="7">
        <x:v>4285.4858195781708</x:v>
      </x:c>
      <x:c r="P3" s="7" t="s">
        <x:v>61</x:v>
      </x:c>
      <x:c r="Q3" s="7">
        <x:v>3559.0290207862849</x:v>
      </x:c>
      <x:c r="R3" s="7" t="s">
        <x:v>62</x:v>
      </x:c>
      <x:c r="S3" s="7">
        <x:v>41.525558471679688</x:v>
      </x:c>
      <x:c r="T3" s="7" t="s">
        <x:v>63</x:v>
      </x:c>
      <x:c r="U3" s="7">
        <x:v>0.32295489311218262</x:v>
      </x:c>
      <x:c r="V3" s="7" t="s">
        <x:v>64</x:v>
      </x:c>
      <x:c r="W3" s="7">
        <x:v>19.519862651824951</x:v>
      </x:c>
      <x:c r="X3" s="7" t="s">
        <x:v>65</x:v>
      </x:c>
      <x:c r="Y3" s="7">
        <x:v>5.1021575927734382E-5</x:v>
      </x:c>
      <x:c r="Z3" s="7" t="s">
        <x:v>66</x:v>
      </x:c>
      <x:c r="AA3" s="7">
        <x:v>0</x:v>
      </x:c>
      <x:c r="AB3" s="7" t="s">
        <x:v>67</x:v>
      </x:c>
      <x:c r="AC3" s="7">
        <x:v>653.35576616644801</x:v>
      </x:c>
      <x:c r="AD3" s="7" t="s">
        <x:v>68</x:v>
      </x:c>
      <x:c r="AE3" s="7">
        <x:v>5</x:v>
      </x:c>
      <x:c r="AF3" s="7" t="s">
        <x:v>69</x:v>
      </x:c>
      <x:c r="AG3" s="7">
        <x:v>1</x:v>
      </x:c>
      <x:c r="AH3" s="7">
        <x:v>15030</x:v>
      </x:c>
    </x:row>
    <x:row r="4">
      <x:c r="A4" t="s">
        <x:v>43</x:v>
      </x:c>
      <x:c r="B4" t="s">
        <x:v>44</x:v>
      </x:c>
      <x:c r="C4" t="s">
        <x:v>70</x:v>
      </x:c>
      <x:c r="D4">
        <x:v>654.33687575785461</x:v>
      </x:c>
      <x:c r="E4" s="6">
        <x:v>654.33687575785405</x:v>
      </x:c>
      <x:c r="F4">
        <x:v>691.90596083459445</x:v>
      </x:c>
      <x:c r="G4">
        <x:v>5.4297964178369088E-2</x:v>
      </x:c>
      <x:c r="H4">
        <x:f t="shared" si="0"/>
        <x:v>5.4297964179154674E-2</x:v>
      </x:c>
      <x:c r="I4">
        <x:f t="shared" si="1"/>
        <x:v>7.8558687333085686E-13</x:v>
      </x:c>
      <x:c r="K4">
        <x:v>3659.465821743011</x:v>
      </x:c>
      <x:c r="L4">
        <x:v>5.8334519863128662</x:v>
      </x:c>
      <x:c r="M4">
        <x:v>0.25295829772949219</x:v>
      </x:c>
      <x:c r="N4" t="s">
        <x:v>71</x:v>
      </x:c>
      <x:c r="O4">
        <x:v>0</x:v>
      </x:c>
      <x:c r="P4" t="s">
        <x:v>71</x:v>
      </x:c>
      <x:c r="Q4">
        <x:v>0</x:v>
      </x:c>
      <x:c r="R4" t="s">
        <x:v>72</x:v>
      </x:c>
      <x:c r="S4">
        <x:v>271.32918071746832</x:v>
      </x:c>
      <x:c r="T4" t="s">
        <x:v>71</x:v>
      </x:c>
      <x:c r="U4">
        <x:v>0</x:v>
      </x:c>
      <x:c r="V4" t="s">
        <x:v>73</x:v>
      </x:c>
      <x:c r="W4">
        <x:v>122.2032814025879</x:v>
      </x:c>
      <x:c r="X4" t="s">
        <x:v>71</x:v>
      </x:c>
      <x:c r="Y4">
        <x:v>0</x:v>
      </x:c>
      <x:c r="Z4" t="s">
        <x:v>74</x:v>
      </x:c>
      <x:c r="AA4">
        <x:v>0</x:v>
      </x:c>
      <x:c r="AB4" s="6" t="s">
        <x:v>75</x:v>
      </x:c>
      <x:c r="AC4" s="6">
        <x:v>654.33687575785405</x:v>
      </x:c>
      <x:c r="AD4" t="s">
        <x:v>76</x:v>
      </x:c>
      <x:c r="AE4">
        <x:v>23</x:v>
      </x:c>
      <x:c r="AF4" t="s">
        <x:v>77</x:v>
      </x:c>
      <x:c r="AG4">
        <x:v>0</x:v>
      </x:c>
      <x:c r="AH4">
        <x:v>15030</x:v>
      </x:c>
    </x:row>
    <x:row r="5">
      <x:c r="A5" t="s">
        <x:v>78</x:v>
      </x:c>
      <x:c r="B5" t="s">
        <x:v>79</x:v>
      </x:c>
      <x:c r="C5" t="s">
        <x:v>45</x:v>
      </x:c>
      <x:c r="D5">
        <x:v>1384.236941275524</x:v>
      </x:c>
      <x:c r="E5" s="6">
        <x:v>1384.2369412755199</x:v>
      </x:c>
      <x:c r="F5">
        <x:v>1802.769225335506</x:v>
      </x:c>
      <x:c r="G5">
        <x:v>0.23216076587937559</x:v>
      </x:c>
      <x:c r="H5">
        <x:f t="shared" si="0"/>
        <x:v>0.23216076588066603</x:v>
      </x:c>
      <x:c r="I5">
        <x:f t="shared" si="1"/>
        <x:v>1.2904399770974351E-12</x:v>
      </x:c>
      <x:c r="K5">
        <x:v>3610.0825548172002</x:v>
      </x:c>
      <x:c r="L5">
        <x:v>9.0805439949035645</x:v>
      </x:c>
      <x:c r="M5">
        <x:v>1.168818473815918</x:v>
      </x:c>
      <x:c r="N5" t="s">
        <x:v>80</x:v>
      </x:c>
      <x:c r="O5">
        <x:v>7340.5228228569031</x:v>
      </x:c>
      <x:c r="P5" t="s">
        <x:v>81</x:v>
      </x:c>
      <x:c r="Q5">
        <x:v>3419.8919322490692</x:v>
      </x:c>
      <x:c r="R5" t="s">
        <x:v>82</x:v>
      </x:c>
      <x:c r="S5">
        <x:v>190.19062256813049</x:v>
      </x:c>
      <x:c r="T5" t="s">
        <x:v>83</x:v>
      </x:c>
      <x:c r="U5">
        <x:v>2.3592510223388672</x:v>
      </x:c>
      <x:c r="V5" t="s">
        <x:v>84</x:v>
      </x:c>
      <x:c r="W5">
        <x:v>272.69413089752197</x:v>
      </x:c>
      <x:c r="X5" t="s">
        <x:v>85</x:v>
      </x:c>
      <x:c r="Y5">
        <x:v>253.88455057144171</x:v>
      </x:c>
      <x:c r="Z5" t="s">
        <x:v>86</x:v>
      </x:c>
      <x:c r="AA5">
        <x:v>0</x:v>
      </x:c>
      <x:c r="AB5" s="6" t="s">
        <x:v>87</x:v>
      </x:c>
      <x:c r="AC5" s="6">
        <x:v>1384.2369412755199</x:v>
      </x:c>
      <x:c r="AD5" t="s">
        <x:v>88</x:v>
      </x:c>
      <x:c r="AF5" t="s">
        <x:v>89</x:v>
      </x:c>
      <x:c r="AG5">
        <x:v>1</x:v>
      </x:c>
      <x:c r="AH5">
        <x:v>44800</x:v>
      </x:c>
    </x:row>
    <x:row r="6" s="7" customFormat="1">
      <x:c r="A6" s="7" t="s">
        <x:v>78</x:v>
      </x:c>
      <x:c r="B6" s="7" t="s">
        <x:v>79</x:v>
      </x:c>
      <x:c r="C6" s="9" t="s">
        <x:v>59</x:v>
      </x:c>
      <x:c r="D6" s="7">
        <x:v>1444.739816379237</x:v>
      </x:c>
      <x:c r="E6" s="7">
        <x:v>1384.2369412755199</x:v>
      </x:c>
      <x:c r="F6" s="7">
        <x:v>1685.3244543201031</x:v>
      </x:c>
      <x:c r="G6" s="7">
        <x:v>0.17865255100938929</x:v>
      </x:c>
      <x:c r="H6">
        <x:f t="shared" si="0"/>
        <x:v>0.17865255101045127</x:v>
      </x:c>
      <x:c r="I6" s="9">
        <x:f t="shared" si="1"/>
        <x:v>1.0619838342051935E-12</x:v>
      </x:c>
      <x:c r="K6" s="7">
        <x:v>3612.158456325531</x:v>
      </x:c>
      <x:c r="L6" s="7">
        <x:v>9.0805439949035645</x:v>
      </x:c>
      <x:c r="M6" s="7">
        <x:v>1.1977946758270259</x:v>
      </x:c>
      <x:c r="N6" s="7" t="s">
        <x:v>90</x:v>
      </x:c>
      <x:c r="O6" s="7">
        <x:v>5653.438357591629</x:v>
      </x:c>
      <x:c r="P6" s="7" t="s">
        <x:v>91</x:v>
      </x:c>
      <x:c r="Q6" s="7">
        <x:v>3515.286642074585</x:v>
      </x:c>
      <x:c r="R6" s="7" t="s">
        <x:v>92</x:v>
      </x:c>
      <x:c r="S6" s="7">
        <x:v>96.871814250946045</x:v>
      </x:c>
      <x:c r="T6" s="7" t="s">
        <x:v>93</x:v>
      </x:c>
      <x:c r="U6" s="7">
        <x:v>0.73551297187805176</x:v>
      </x:c>
      <x:c r="V6" s="7" t="s">
        <x:v>94</x:v>
      </x:c>
      <x:c r="W6" s="7">
        <x:v>141.77163743972781</x:v>
      </x:c>
      <x:c r="X6" s="7" t="s">
        <x:v>95</x:v>
      </x:c>
      <x:c r="Y6" s="7">
        <x:v>2.4080276489257809E-5</x:v>
      </x:c>
      <x:c r="Z6" s="7" t="s">
        <x:v>96</x:v>
      </x:c>
      <x:c r="AA6" s="7">
        <x:v>0</x:v>
      </x:c>
      <x:c r="AB6" s="7" t="s">
        <x:v>97</x:v>
      </x:c>
      <x:c r="AC6" s="7">
        <x:v>1384.2369412755199</x:v>
      </x:c>
      <x:c r="AD6" s="7" t="s">
        <x:v>98</x:v>
      </x:c>
      <x:c r="AE6" s="7">
        <x:v>4</x:v>
      </x:c>
      <x:c r="AF6" s="7" t="s">
        <x:v>99</x:v>
      </x:c>
      <x:c r="AG6" s="7">
        <x:v>1</x:v>
      </x:c>
      <x:c r="AH6" s="7">
        <x:v>44800</x:v>
      </x:c>
    </x:row>
    <x:row r="7">
      <x:c r="A7" t="s">
        <x:v>78</x:v>
      </x:c>
      <x:c r="B7" t="s">
        <x:v>79</x:v>
      </x:c>
      <x:c r="C7" t="s">
        <x:v>70</x:v>
      </x:c>
      <x:c r="D7">
        <x:v>1450.654516332984</x:v>
      </x:c>
      <x:c r="E7" s="6">
        <x:v>1445.1525456250199</x:v>
      </x:c>
      <x:c r="F7">
        <x:v>1792.4510799782629</x:v>
      </x:c>
      <x:c r="G7">
        <x:v>0.19068669012016651</x:v>
      </x:c>
      <x:c r="H7">
        <x:f t="shared" si="0"/>
        <x:v>0.19375621361864709</x:v>
      </x:c>
      <x:c r="I7">
        <x:f t="shared" si="1"/>
        <x:v>3.0695234984805808E-3</x:v>
      </x:c>
      <x:c r="K7">
        <x:v>3884.6900625228882</x:v>
      </x:c>
      <x:c r="L7">
        <x:v>9.0805439949035645</x:v>
      </x:c>
      <x:c r="M7">
        <x:v>0.8845820426940918</x:v>
      </x:c>
      <x:c r="N7" t="s">
        <x:v>71</x:v>
      </x:c>
      <x:c r="O7">
        <x:v>0</x:v>
      </x:c>
      <x:c r="P7" t="s">
        <x:v>71</x:v>
      </x:c>
      <x:c r="Q7">
        <x:v>0</x:v>
      </x:c>
      <x:c r="R7" t="s">
        <x:v>100</x:v>
      </x:c>
      <x:c r="S7">
        <x:v>415.93159508705139</x:v>
      </x:c>
      <x:c r="T7" t="s">
        <x:v>71</x:v>
      </x:c>
      <x:c r="U7">
        <x:v>0</x:v>
      </x:c>
      <x:c r="V7" t="s">
        <x:v>101</x:v>
      </x:c>
      <x:c r="W7">
        <x:v>593.84329056739807</x:v>
      </x:c>
      <x:c r="X7" t="s">
        <x:v>71</x:v>
      </x:c>
      <x:c r="Y7">
        <x:v>0</x:v>
      </x:c>
      <x:c r="Z7" t="s">
        <x:v>102</x:v>
      </x:c>
      <x:c r="AA7">
        <x:v>0</x:v>
      </x:c>
      <x:c r="AB7" s="6" t="s">
        <x:v>103</x:v>
      </x:c>
      <x:c r="AC7" s="6">
        <x:v>1445.1525456250199</x:v>
      </x:c>
      <x:c r="AD7" t="s">
        <x:v>104</x:v>
      </x:c>
      <x:c r="AE7">
        <x:v>11</x:v>
      </x:c>
      <x:c r="AF7" t="s">
        <x:v>105</x:v>
      </x:c>
      <x:c r="AG7">
        <x:v>0</x:v>
      </x:c>
      <x:c r="AH7">
        <x:v>44800</x:v>
      </x:c>
    </x:row>
    <x:row r="8">
      <x:c r="A8" t="s">
        <x:v>106</x:v>
      </x:c>
      <x:c r="B8" t="s">
        <x:v>107</x:v>
      </x:c>
      <x:c r="C8" t="s">
        <x:v>45</x:v>
      </x:c>
      <x:c r="D8">
        <x:v>1712.161190428767</x:v>
      </x:c>
      <x:c r="E8" s="6">
        <x:v>1712.1611904287599</x:v>
      </x:c>
      <x:c r="F8">
        <x:v>2079.9907349183809</x:v>
      </x:c>
      <x:c r="G8">
        <x:v>0.17684191487625961</x:v>
      </x:c>
      <x:c r="H8">
        <x:f t="shared" si="0"/>
        <x:v>0.17684191487711345</x:v>
      </x:c>
      <x:c r="I8">
        <x:f t="shared" si="1"/>
        <x:v>8.5384477266359227E-13</x:v>
      </x:c>
      <x:c r="K8">
        <x:v>3603.9918794631958</x:v>
      </x:c>
      <x:c r="L8">
        <x:v>5.783289909362793</x:v>
      </x:c>
      <x:c r="M8">
        <x:v>0.75932550430297852</x:v>
      </x:c>
      <x:c r="N8" t="s">
        <x:v>108</x:v>
      </x:c>
      <x:c r="O8">
        <x:v>6320.4469752311707</x:v>
      </x:c>
      <x:c r="P8" t="s">
        <x:v>109</x:v>
      </x:c>
      <x:c r="Q8">
        <x:v>3454.1681482791901</x:v>
      </x:c>
      <x:c r="R8" t="s">
        <x:v>110</x:v>
      </x:c>
      <x:c r="S8">
        <x:v>149.82373118400571</x:v>
      </x:c>
      <x:c r="T8" t="s">
        <x:v>111</x:v>
      </x:c>
      <x:c r="U8">
        <x:v>1.5510656833648679</x:v>
      </x:c>
      <x:c r="V8" t="s">
        <x:v>112</x:v>
      </x:c>
      <x:c r="W8">
        <x:v>150.91232085227969</x:v>
      </x:c>
      <x:c r="X8" t="s">
        <x:v>113</x:v>
      </x:c>
      <x:c r="Y8">
        <x:v>180.1959578990936</x:v>
      </x:c>
      <x:c r="Z8" t="s">
        <x:v>114</x:v>
      </x:c>
      <x:c r="AA8">
        <x:v>0</x:v>
      </x:c>
      <x:c r="AB8" s="6" t="s">
        <x:v>115</x:v>
      </x:c>
      <x:c r="AC8" s="6">
        <x:v>1712.1611904287599</x:v>
      </x:c>
      <x:c r="AD8" t="s">
        <x:v>116</x:v>
      </x:c>
      <x:c r="AF8" t="s">
        <x:v>117</x:v>
      </x:c>
      <x:c r="AG8">
        <x:v>1</x:v>
      </x:c>
      <x:c r="AH8">
        <x:v>30300</x:v>
      </x:c>
    </x:row>
    <x:row r="9">
      <x:c r="A9" t="s">
        <x:v>106</x:v>
      </x:c>
      <x:c r="B9" t="s">
        <x:v>107</x:v>
      </x:c>
      <x:c r="C9" t="s">
        <x:v>59</x:v>
      </x:c>
      <x:c r="D9">
        <x:v>1774.563008774611</x:v>
      </x:c>
      <x:c r="E9" s="6">
        <x:v>1774.5630087746099</x:v>
      </x:c>
      <x:c r="F9">
        <x:v>2039.1417640042021</x:v>
      </x:c>
      <x:c r="G9">
        <x:v>0.12975005460569239</x:v>
      </x:c>
      <x:c r="H9">
        <x:f t="shared" si="0"/>
        <x:v>0.12975005460632943</x:v>
      </x:c>
      <x:c r="I9">
        <x:f t="shared" si="1"/>
        <x:v>6.3704597152991482E-13</x:v>
      </x:c>
      <x:c r="K9">
        <x:v>3601.5129539966579</x:v>
      </x:c>
      <x:c r="L9">
        <x:v>5.783289909362793</x:v>
      </x:c>
      <x:c r="M9">
        <x:v>0.80102801322937012</x:v>
      </x:c>
      <x:c r="N9" t="s">
        <x:v>118</x:v>
      </x:c>
      <x:c r="O9">
        <x:v>4876.3812289237976</x:v>
      </x:c>
      <x:c r="P9" t="s">
        <x:v>119</x:v>
      </x:c>
      <x:c r="Q9">
        <x:v>3535.414363622665</x:v>
      </x:c>
      <x:c r="R9" t="s">
        <x:v>120</x:v>
      </x:c>
      <x:c r="S9">
        <x:v>66.09859037399292</x:v>
      </x:c>
      <x:c r="T9" t="s">
        <x:v>121</x:v>
      </x:c>
      <x:c r="U9">
        <x:v>0.53200197219848633</x:v>
      </x:c>
      <x:c r="V9" t="s">
        <x:v>122</x:v>
      </x:c>
      <x:c r="W9">
        <x:v>62.275960206985467</x:v>
      </x:c>
      <x:c r="X9" t="s">
        <x:v>123</x:v>
      </x:c>
      <x:c r="Y9">
        <x:v>2.7894973754882809E-5</x:v>
      </x:c>
      <x:c r="Z9" t="s">
        <x:v>96</x:v>
      </x:c>
      <x:c r="AA9">
        <x:v>0</x:v>
      </x:c>
      <x:c r="AB9" s="6" t="s">
        <x:v>124</x:v>
      </x:c>
      <x:c r="AC9" s="6">
        <x:v>1774.5630087746099</x:v>
      </x:c>
      <x:c r="AD9" t="s">
        <x:v>125</x:v>
      </x:c>
      <x:c r="AE9">
        <x:v>4</x:v>
      </x:c>
      <x:c r="AF9" t="s">
        <x:v>126</x:v>
      </x:c>
      <x:c r="AG9">
        <x:v>1</x:v>
      </x:c>
      <x:c r="AH9">
        <x:v>30300</x:v>
      </x:c>
    </x:row>
    <x:row r="10">
      <x:c r="A10" t="s">
        <x:v>106</x:v>
      </x:c>
      <x:c r="B10" t="s">
        <x:v>107</x:v>
      </x:c>
      <x:c r="C10" t="s">
        <x:v>70</x:v>
      </x:c>
      <x:c r="D10">
        <x:v>1789.5446621814281</x:v>
      </x:c>
      <x:c r="E10" s="6">
        <x:v>1789.5446621814201</x:v>
      </x:c>
      <x:c r="F10">
        <x:v>1964.7221135582031</x:v>
      </x:c>
      <x:c r="G10">
        <x:v>8.9161439252408548E-2</x:v>
      </x:c>
      <x:c r="H10">
        <x:f t="shared" si="0"/>
        <x:v>8.916143925286639E-2</x:v>
      </x:c>
      <x:c r="I10">
        <x:f t="shared" si="1"/>
        <x:v>4.5784209756760674E-13</x:v>
      </x:c>
      <x:c r="K10">
        <x:v>4538.9963824748993</x:v>
      </x:c>
      <x:c r="L10">
        <x:v>5.783289909362793</x:v>
      </x:c>
      <x:c r="M10">
        <x:v>0.77289485931396484</x:v>
      </x:c>
      <x:c r="N10" t="s">
        <x:v>71</x:v>
      </x:c>
      <x:c r="O10">
        <x:v>0</x:v>
      </x:c>
      <x:c r="P10" t="s">
        <x:v>71</x:v>
      </x:c>
      <x:c r="Q10">
        <x:v>0</x:v>
      </x:c>
      <x:c r="R10" t="s">
        <x:v>127</x:v>
      </x:c>
      <x:c r="S10">
        <x:v>390.72796201705933</x:v>
      </x:c>
      <x:c r="T10" t="s">
        <x:v>71</x:v>
      </x:c>
      <x:c r="U10">
        <x:v>0</x:v>
      </x:c>
      <x:c r="V10" t="s">
        <x:v>128</x:v>
      </x:c>
      <x:c r="W10">
        <x:v>360.29098224639893</x:v>
      </x:c>
      <x:c r="X10" t="s">
        <x:v>71</x:v>
      </x:c>
      <x:c r="Y10">
        <x:v>0</x:v>
      </x:c>
      <x:c r="Z10" t="s">
        <x:v>129</x:v>
      </x:c>
      <x:c r="AA10">
        <x:v>0</x:v>
      </x:c>
      <x:c r="AB10" s="6" t="s">
        <x:v>130</x:v>
      </x:c>
      <x:c r="AC10" s="6">
        <x:v>1789.5446621814201</x:v>
      </x:c>
      <x:c r="AD10" t="s">
        <x:v>131</x:v>
      </x:c>
      <x:c r="AE10">
        <x:v>15</x:v>
      </x:c>
      <x:c r="AF10" t="s">
        <x:v>132</x:v>
      </x:c>
      <x:c r="AG10">
        <x:v>0</x:v>
      </x:c>
      <x:c r="AH10">
        <x:v>30300</x:v>
      </x:c>
    </x:row>
    <x:row r="11" s="7" customFormat="1">
      <x:c r="A11" s="7" t="s">
        <x:v>133</x:v>
      </x:c>
      <x:c r="B11" s="7" t="s">
        <x:v>134</x:v>
      </x:c>
      <x:c r="C11" s="7" t="s">
        <x:v>45</x:v>
      </x:c>
      <x:c r="D11" s="7">
        <x:v>1161.1833038376151</x:v>
      </x:c>
      <x:c r="E11" s="7">
        <x:v>776.32963616656002</x:v>
      </x:c>
      <x:c r="F11" s="7">
        <x:v>979.44045796295495</x:v>
      </x:c>
      <x:c r="G11" s="7">
        <x:v>-0.18555782987645211</x:v>
      </x:c>
      <x:c r="H11">
        <x:f t="shared" si="0"/>
        <x:v>0.20737434332539806</x:v>
      </x:c>
      <x:c r="I11" s="7">
        <x:f t="shared" si="1"/>
        <x:v>0.39293217320185014</x:v>
      </x:c>
      <x:c r="K11" s="7">
        <x:v>1235.97471165657</x:v>
      </x:c>
      <x:c r="L11" s="7">
        <x:v>8.7590394020080566</x:v>
      </x:c>
      <x:c r="M11" s="7">
        <x:v>0.57406449317932129</x:v>
      </x:c>
      <x:c r="N11" s="7" t="s">
        <x:v>135</x:v>
      </x:c>
      <x:c r="O11" s="7">
        <x:v>3196.1928720474239</x:v>
      </x:c>
      <x:c r="P11" s="7" t="s">
        <x:v>136</x:v>
      </x:c>
      <x:c r="Q11" s="7">
        <x:v>1118.1676752567289</x:v>
      </x:c>
      <x:c r="R11" s="7" t="s">
        <x:v>137</x:v>
      </x:c>
      <x:c r="S11" s="7">
        <x:v>117.80703639984129</x:v>
      </x:c>
      <x:c r="T11" s="7" t="s">
        <x:v>138</x:v>
      </x:c>
      <x:c r="U11" s="7">
        <x:v>0.8739769458770752</x:v>
      </x:c>
      <x:c r="V11" s="7" t="s">
        <x:v>139</x:v>
      </x:c>
      <x:c r="W11" s="7">
        <x:v>109.5620036125183</x:v>
      </x:c>
      <x:c r="X11" s="7" t="s">
        <x:v>140</x:v>
      </x:c>
      <x:c r="Y11" s="7">
        <x:v>109.1526012420654</x:v>
      </x:c>
      <x:c r="Z11" s="7" t="s">
        <x:v>141</x:v>
      </x:c>
      <x:c r="AA11" s="7">
        <x:v>0</x:v>
      </x:c>
      <x:c r="AB11" s="7" t="s">
        <x:v>142</x:v>
      </x:c>
      <x:c r="AC11" s="7">
        <x:v>1161.1833038376101</x:v>
      </x:c>
      <x:c r="AD11" s="7" t="s">
        <x:v>143</x:v>
      </x:c>
      <x:c r="AF11" s="7" t="s">
        <x:v>144</x:v>
      </x:c>
      <x:c r="AG11" s="7">
        <x:v>1</x:v>
      </x:c>
      <x:c r="AH11" s="7">
        <x:v>30050</x:v>
      </x:c>
    </x:row>
    <x:row r="12">
      <x:c r="A12" t="s">
        <x:v>133</x:v>
      </x:c>
      <x:c r="B12" t="s">
        <x:v>134</x:v>
      </x:c>
      <x:c r="C12" s="4" t="s">
        <x:v>59</x:v>
      </x:c>
      <x:c r="D12">
        <x:v>1161.1833038376151</x:v>
      </x:c>
      <x:c r="E12" s="6">
        <x:v>860.77038643838898</x:v>
      </x:c>
      <x:c r="F12">
        <x:v>946.87337926586406</x:v>
      </x:c>
      <x:c r="G12">
        <x:v>9.2472293782725618E-2</x:v>
      </x:c>
      <x:c r="H12">
        <x:f t="shared" si="0"/>
        <x:v>9.0934009459884696E-2</x:v>
      </x:c>
      <x:c r="I12" s="3">
        <x:f t="shared" si="1"/>
        <x:v>1.5382843228409215E-3</x:v>
      </x:c>
      <x:c r="K12">
        <x:v>3602.3359682559972</x:v>
      </x:c>
      <x:c r="L12">
        <x:v>8.7590394020080566</x:v>
      </x:c>
      <x:c r="M12">
        <x:v>0.70494937896728516</x:v>
      </x:c>
      <x:c r="N12" t="s">
        <x:v>145</x:v>
      </x:c>
      <x:c r="O12">
        <x:v>5099.3143877983093</x:v>
      </x:c>
      <x:c r="P12" t="s">
        <x:v>146</x:v>
      </x:c>
      <x:c r="Q12">
        <x:v>3519.4842882156372</x:v>
      </x:c>
      <x:c r="R12" t="s">
        <x:v>147</x:v>
      </x:c>
      <x:c r="S12">
        <x:v>82.851680040359497</x:v>
      </x:c>
      <x:c r="T12" t="s">
        <x:v>148</x:v>
      </x:c>
      <x:c r="U12">
        <x:v>0.79593563079833984</x:v>
      </x:c>
      <x:c r="V12" t="s">
        <x:v>149</x:v>
      </x:c>
      <x:c r="W12">
        <x:v>83.931724309921265</x:v>
      </x:c>
      <x:c r="X12" t="s">
        <x:v>150</x:v>
      </x:c>
      <x:c r="Y12">
        <x:v>3.3617019653320313E-5</x:v>
      </x:c>
      <x:c r="Z12" t="s">
        <x:v>66</x:v>
      </x:c>
      <x:c r="AA12">
        <x:v>0</x:v>
      </x:c>
      <x:c r="AB12" s="6" t="s">
        <x:v>151</x:v>
      </x:c>
      <x:c r="AC12" s="6">
        <x:v>860.77038643838898</x:v>
      </x:c>
      <x:c r="AD12" t="s">
        <x:v>152</x:v>
      </x:c>
      <x:c r="AE12">
        <x:v>5</x:v>
      </x:c>
      <x:c r="AF12" t="s">
        <x:v>153</x:v>
      </x:c>
      <x:c r="AG12">
        <x:v>1</x:v>
      </x:c>
      <x:c r="AH12">
        <x:v>30050</x:v>
      </x:c>
    </x:row>
    <x:row r="13">
      <x:c r="A13" t="s">
        <x:v>133</x:v>
      </x:c>
      <x:c r="B13" t="s">
        <x:v>134</x:v>
      </x:c>
      <x:c r="C13" t="s">
        <x:v>70</x:v>
      </x:c>
      <x:c r="D13">
        <x:v>850.59624838730099</x:v>
      </x:c>
      <x:c r="E13" s="6">
        <x:v>850.59624838730099</x:v>
      </x:c>
      <x:c r="F13">
        <x:v>943.75147719309575</x:v>
      </x:c>
      <x:c r="G13">
        <x:v>9.870737270988951E-2</x:v>
      </x:c>
      <x:c r="H13">
        <x:f t="shared" si="0"/>
        <x:v>9.8707372710935409E-2</x:v>
      </x:c>
      <x:c r="I13">
        <x:f t="shared" si="1"/>
        <x:v>1.0458994781359365E-12</x:v>
      </x:c>
      <x:c r="K13">
        <x:v>5423.9154515266418</x:v>
      </x:c>
      <x:c r="L13">
        <x:v>8.7590394020080566</x:v>
      </x:c>
      <x:c r="M13">
        <x:v>0.66357707977294922</x:v>
      </x:c>
      <x:c r="N13" t="s">
        <x:v>71</x:v>
      </x:c>
      <x:c r="O13">
        <x:v>0</x:v>
      </x:c>
      <x:c r="P13" t="s">
        <x:v>71</x:v>
      </x:c>
      <x:c r="Q13">
        <x:v>0</x:v>
      </x:c>
      <x:c r="R13" t="s">
        <x:v>154</x:v>
      </x:c>
      <x:c r="S13">
        <x:v>369.13426828384399</x:v>
      </x:c>
      <x:c r="T13" t="s">
        <x:v>71</x:v>
      </x:c>
      <x:c r="U13">
        <x:v>0</x:v>
      </x:c>
      <x:c r="V13" t="s">
        <x:v>155</x:v>
      </x:c>
      <x:c r="W13">
        <x:v>354.40067005157471</x:v>
      </x:c>
      <x:c r="X13" t="s">
        <x:v>71</x:v>
      </x:c>
      <x:c r="Y13">
        <x:v>0</x:v>
      </x:c>
      <x:c r="Z13" t="s">
        <x:v>129</x:v>
      </x:c>
      <x:c r="AA13">
        <x:v>0</x:v>
      </x:c>
      <x:c r="AB13" s="6" t="s">
        <x:v>156</x:v>
      </x:c>
      <x:c r="AC13" s="6">
        <x:v>850.59624838730099</x:v>
      </x:c>
      <x:c r="AD13" t="s">
        <x:v>157</x:v>
      </x:c>
      <x:c r="AE13">
        <x:v>15</x:v>
      </x:c>
      <x:c r="AF13" t="s">
        <x:v>158</x:v>
      </x:c>
      <x:c r="AG13">
        <x:v>0</x:v>
      </x:c>
      <x:c r="AH13">
        <x:v>30050</x:v>
      </x:c>
    </x:row>
    <x:row r="14">
      <x:c r="A14" t="s">
        <x:v>159</x:v>
      </x:c>
      <x:c r="B14" t="s">
        <x:v>160</x:v>
      </x:c>
      <x:c r="C14" t="s">
        <x:v>45</x:v>
      </x:c>
      <x:c r="D14">
        <x:v>1250.1947717662119</x:v>
      </x:c>
      <x:c r="E14" s="6">
        <x:v>1250.1947717662099</x:v>
      </x:c>
      <x:c r="F14">
        <x:v>1524.745437830753</x:v>
      </x:c>
      <x:c r="G14">
        <x:v>0.1800632808931972</x:v>
      </x:c>
      <x:c r="H14">
        <x:f t="shared" si="0"/>
        <x:v>0.18006328089437987</x:v>
      </x:c>
      <x:c r="I14">
        <x:f t="shared" si="1"/>
        <x:v>1.182665076981948E-12</x:v>
      </x:c>
      <x:c r="K14">
        <x:v>3611.323148488998</x:v>
      </x:c>
      <x:c r="L14">
        <x:v>5.8432960510253906</x:v>
      </x:c>
      <x:c r="M14">
        <x:v>0.65252375602722168</x:v>
      </x:c>
      <x:c r="N14" t="s">
        <x:v>161</x:v>
      </x:c>
      <x:c r="O14">
        <x:v>5981.7429416179657</x:v>
      </x:c>
      <x:c r="P14" t="s">
        <x:v>162</x:v>
      </x:c>
      <x:c r="Q14">
        <x:v>3475.4735472202301</x:v>
      </x:c>
      <x:c r="R14" t="s">
        <x:v>163</x:v>
      </x:c>
      <x:c r="S14">
        <x:v>135.84960126876831</x:v>
      </x:c>
      <x:c r="T14" t="s">
        <x:v>164</x:v>
      </x:c>
      <x:c r="U14">
        <x:v>1.408703565597534</x:v>
      </x:c>
      <x:c r="V14" t="s">
        <x:v>165</x:v>
      </x:c>
      <x:c r="W14">
        <x:v>121.1644010543823</x:v>
      </x:c>
      <x:c r="X14" t="s">
        <x:v>166</x:v>
      </x:c>
      <x:c r="Y14">
        <x:v>122.858229637146</x:v>
      </x:c>
      <x:c r="Z14" t="s">
        <x:v>114</x:v>
      </x:c>
      <x:c r="AA14">
        <x:v>0</x:v>
      </x:c>
      <x:c r="AB14" s="6" t="s">
        <x:v>167</x:v>
      </x:c>
      <x:c r="AC14" s="6">
        <x:v>1250.1947717662099</x:v>
      </x:c>
      <x:c r="AD14" t="s">
        <x:v>168</x:v>
      </x:c>
      <x:c r="AF14" t="s">
        <x:v>169</x:v>
      </x:c>
      <x:c r="AG14">
        <x:v>1</x:v>
      </x:c>
      <x:c r="AH14">
        <x:v>26850</x:v>
      </x:c>
    </x:row>
    <x:row r="15">
      <x:c r="A15" t="s">
        <x:v>159</x:v>
      </x:c>
      <x:c r="B15" t="s">
        <x:v>160</x:v>
      </x:c>
      <x:c r="C15" s="4" t="s">
        <x:v>59</x:v>
      </x:c>
      <x:c r="D15">
        <x:v>1323.777008817603</x:v>
      </x:c>
      <x:c r="E15" s="6">
        <x:v>1323.7770088176001</x:v>
      </x:c>
      <x:c r="F15">
        <x:v>1472.4278172750419</x:v>
      </x:c>
      <x:c r="G15">
        <x:v>0.1042323141764048</x:v>
      </x:c>
      <x:c r="H15">
        <x:f t="shared" si="0"/>
        <x:v>0.10095626197319704</x:v>
      </x:c>
      <x:c r="I15" s="3">
        <x:f t="shared" si="1"/>
        <x:v>3.2760522032077577E-3</x:v>
      </x:c>
      <x:c r="K15">
        <x:v>3603.829573154449</x:v>
      </x:c>
      <x:c r="L15">
        <x:v>5.8432960510253906</x:v>
      </x:c>
      <x:c r="M15">
        <x:v>0.66072487831115723</x:v>
      </x:c>
      <x:c r="N15" t="s">
        <x:v>170</x:v>
      </x:c>
      <x:c r="O15">
        <x:v>5014.7031357288361</x:v>
      </x:c>
      <x:c r="P15" t="s">
        <x:v>171</x:v>
      </x:c>
      <x:c r="Q15">
        <x:v>3525.6321682929988</x:v>
      </x:c>
      <x:c r="R15" t="s">
        <x:v>172</x:v>
      </x:c>
      <x:c r="S15">
        <x:v>78.197404861450195</x:v>
      </x:c>
      <x:c r="T15" t="s">
        <x:v>173</x:v>
      </x:c>
      <x:c r="U15">
        <x:v>0.77445006370544434</x:v>
      </x:c>
      <x:c r="V15" t="s">
        <x:v>174</x:v>
      </x:c>
      <x:c r="W15">
        <x:v>69.064270496368408</x:v>
      </x:c>
      <x:c r="X15" t="s">
        <x:v>175</x:v>
      </x:c>
      <x:c r="Y15">
        <x:v>5.0067901611328118E-5</x:v>
      </x:c>
      <x:c r="Z15" t="s">
        <x:v>66</x:v>
      </x:c>
      <x:c r="AA15">
        <x:v>0</x:v>
      </x:c>
      <x:c r="AB15" s="6" t="s">
        <x:v>176</x:v>
      </x:c>
      <x:c r="AC15" s="6">
        <x:v>1323.7770088176001</x:v>
      </x:c>
      <x:c r="AD15" t="s">
        <x:v>177</x:v>
      </x:c>
      <x:c r="AE15">
        <x:v>5</x:v>
      </x:c>
      <x:c r="AF15" t="s">
        <x:v>178</x:v>
      </x:c>
      <x:c r="AG15">
        <x:v>1</x:v>
      </x:c>
      <x:c r="AH15">
        <x:v>26850</x:v>
      </x:c>
    </x:row>
    <x:row r="16">
      <x:c r="A16" t="s">
        <x:v>159</x:v>
      </x:c>
      <x:c r="B16" t="s">
        <x:v>160</x:v>
      </x:c>
      <x:c r="C16" t="s">
        <x:v>70</x:v>
      </x:c>
      <x:c r="D16">
        <x:v>1325.2101421340681</x:v>
      </x:c>
      <x:c r="E16" s="6">
        <x:v>1325.2101421340601</x:v>
      </x:c>
      <x:c r="F16">
        <x:v>1458.1181839357521</x:v>
      </x:c>
      <x:c r="G16">
        <x:v>9.1150390458767175E-2</x:v>
      </x:c>
      <x:c r="H16">
        <x:f t="shared" si="0"/>
        <x:v>9.1150390459397906E-2</x:v>
      </x:c>
      <x:c r="I16">
        <x:f t="shared" si="1"/>
        <x:v>6.3073157807735925E-13</x:v>
      </x:c>
      <x:c r="K16">
        <x:v>5607.7138464450836</x:v>
      </x:c>
      <x:c r="L16">
        <x:v>5.8432960510253906</x:v>
      </x:c>
      <x:c r="M16">
        <x:v>0.68554067611694336</x:v>
      </x:c>
      <x:c r="N16" t="s">
        <x:v>71</x:v>
      </x:c>
      <x:c r="O16">
        <x:v>0</x:v>
      </x:c>
      <x:c r="P16" t="s">
        <x:v>71</x:v>
      </x:c>
      <x:c r="Q16">
        <x:v>0</x:v>
      </x:c>
      <x:c r="R16" t="s">
        <x:v>179</x:v>
      </x:c>
      <x:c r="S16">
        <x:v>333.75437569618231</x:v>
      </x:c>
      <x:c r="T16" t="s">
        <x:v>71</x:v>
      </x:c>
      <x:c r="U16">
        <x:v>0</x:v>
      </x:c>
      <x:c r="V16" t="s">
        <x:v>180</x:v>
      </x:c>
      <x:c r="W16">
        <x:v>280.23439764976501</x:v>
      </x:c>
      <x:c r="X16" t="s">
        <x:v>71</x:v>
      </x:c>
      <x:c r="Y16">
        <x:v>0</x:v>
      </x:c>
      <x:c r="Z16" t="s">
        <x:v>129</x:v>
      </x:c>
      <x:c r="AA16">
        <x:v>0</x:v>
      </x:c>
      <x:c r="AB16" s="6" t="s">
        <x:v>181</x:v>
      </x:c>
      <x:c r="AC16" s="6">
        <x:v>1325.2101421340601</x:v>
      </x:c>
      <x:c r="AD16" t="s">
        <x:v>182</x:v>
      </x:c>
      <x:c r="AE16">
        <x:v>15</x:v>
      </x:c>
      <x:c r="AF16" t="s">
        <x:v>183</x:v>
      </x:c>
      <x:c r="AG16">
        <x:v>0</x:v>
      </x:c>
      <x:c r="AH16">
        <x:v>26850</x:v>
      </x:c>
    </x:row>
    <x:row r="17">
      <x:c r="A17" t="s">
        <x:v>184</x:v>
      </x:c>
      <x:c r="B17" t="s">
        <x:v>185</x:v>
      </x:c>
      <x:c r="C17" t="s">
        <x:v>45</x:v>
      </x:c>
      <x:c r="D17">
        <x:v>962.51497629767039</x:v>
      </x:c>
      <x:c r="E17" s="6">
        <x:v>962.51497629767005</x:v>
      </x:c>
      <x:c r="F17">
        <x:v>1088.409909908595</x:v>
      </x:c>
      <x:c r="G17">
        <x:v>0.11566867635405891</x:v>
      </x:c>
      <x:c r="H17">
        <x:f t="shared" si="0"/>
        <x:v>0.11566867635512214</x:v>
      </x:c>
      <x:c r="I17">
        <x:f t="shared" si="1"/>
        <x:v>1.0632328351078968E-12</x:v>
      </x:c>
      <x:c r="K17">
        <x:v>3616.5794053077698</x:v>
      </x:c>
      <x:c r="L17">
        <x:v>8.7396347522735596</x:v>
      </x:c>
      <x:c r="M17">
        <x:v>0.61545228958129883</x:v>
      </x:c>
      <x:c r="N17" t="s">
        <x:v>186</x:v>
      </x:c>
      <x:c r="O17">
        <x:v>6605.0594611167908</x:v>
      </x:c>
      <x:c r="P17" t="s">
        <x:v>187</x:v>
      </x:c>
      <x:c r="Q17">
        <x:v>3451.2051720619202</x:v>
      </x:c>
      <x:c r="R17" t="s">
        <x:v>188</x:v>
      </x:c>
      <x:c r="S17">
        <x:v>165.37423324584961</x:v>
      </x:c>
      <x:c r="T17" t="s">
        <x:v>189</x:v>
      </x:c>
      <x:c r="U17">
        <x:v>1.510723352432251</x:v>
      </x:c>
      <x:c r="V17" t="s">
        <x:v>190</x:v>
      </x:c>
      <x:c r="W17">
        <x:v>189.91432881355291</x:v>
      </x:c>
      <x:c r="X17" t="s">
        <x:v>191</x:v>
      </x:c>
      <x:c r="Y17">
        <x:v>142.09632992744449</x:v>
      </x:c>
      <x:c r="Z17" t="s">
        <x:v>114</x:v>
      </x:c>
      <x:c r="AA17">
        <x:v>0</x:v>
      </x:c>
      <x:c r="AB17" s="6" t="s">
        <x:v>192</x:v>
      </x:c>
      <x:c r="AC17" s="6">
        <x:v>962.51497629767005</x:v>
      </x:c>
      <x:c r="AD17" t="s">
        <x:v>193</x:v>
      </x:c>
      <x:c r="AF17" t="s">
        <x:v>194</x:v>
      </x:c>
      <x:c r="AG17">
        <x:v>1</x:v>
      </x:c>
      <x:c r="AH17">
        <x:v>33950</x:v>
      </x:c>
    </x:row>
    <x:row r="18">
      <x:c r="A18" t="s">
        <x:v>184</x:v>
      </x:c>
      <x:c r="B18" t="s">
        <x:v>185</x:v>
      </x:c>
      <x:c r="C18" s="4" t="s">
        <x:v>59</x:v>
      </x:c>
      <x:c r="D18">
        <x:v>960.66934130396578</x:v>
      </x:c>
      <x:c r="E18" s="6">
        <x:v>960.66934130396498</x:v>
      </x:c>
      <x:c r="F18">
        <x:v>1100.707412016385</x:v>
      </x:c>
      <x:c r="G18">
        <x:v>0.1838329423452128</x:v>
      </x:c>
      <x:c r="H18">
        <x:f t="shared" si="0"/>
        <x:v>0.12722551804742041</x:v>
      </x:c>
      <x:c r="I18" s="3">
        <x:f t="shared" si="1"/>
        <x:v>5.6607424297792391E-2</x:v>
      </x:c>
      <x:c r="K18">
        <x:v>3606.1209738254552</x:v>
      </x:c>
      <x:c r="L18">
        <x:v>8.7396347522735596</x:v>
      </x:c>
      <x:c r="M18">
        <x:v>0.75783562660217285</x:v>
      </x:c>
      <x:c r="N18" t="s">
        <x:v>195</x:v>
      </x:c>
      <x:c r="O18">
        <x:v>5341.3997910022736</x:v>
      </x:c>
      <x:c r="P18" t="s">
        <x:v>196</x:v>
      </x:c>
      <x:c r="Q18">
        <x:v>3514.93838763237</x:v>
      </x:c>
      <x:c r="R18" t="s">
        <x:v>197</x:v>
      </x:c>
      <x:c r="S18">
        <x:v>91.182586193084717</x:v>
      </x:c>
      <x:c r="T18" t="s">
        <x:v>198</x:v>
      </x:c>
      <x:c r="U18">
        <x:v>0.75925397872924805</x:v>
      </x:c>
      <x:c r="V18" t="s">
        <x:v>199</x:v>
      </x:c>
      <x:c r="W18">
        <x:v>107.2894566059113</x:v>
      </x:c>
      <x:c r="X18" t="s">
        <x:v>200</x:v>
      </x:c>
      <x:c r="Y18">
        <x:v>3.0279159545898441E-5</x:v>
      </x:c>
      <x:c r="Z18" t="s">
        <x:v>66</x:v>
      </x:c>
      <x:c r="AA18">
        <x:v>0</x:v>
      </x:c>
      <x:c r="AB18" s="6" t="s">
        <x:v>201</x:v>
      </x:c>
      <x:c r="AC18" s="6">
        <x:v>960.66934130396498</x:v>
      </x:c>
      <x:c r="AD18" t="s">
        <x:v>202</x:v>
      </x:c>
      <x:c r="AE18">
        <x:v>5</x:v>
      </x:c>
      <x:c r="AF18" t="s">
        <x:v>203</x:v>
      </x:c>
      <x:c r="AG18">
        <x:v>1</x:v>
      </x:c>
      <x:c r="AH18">
        <x:v>33950</x:v>
      </x:c>
    </x:row>
    <x:row r="19">
      <x:c r="A19" t="s">
        <x:v>184</x:v>
      </x:c>
      <x:c r="B19" t="s">
        <x:v>185</x:v>
      </x:c>
      <x:c r="C19" t="s">
        <x:v>70</x:v>
      </x:c>
      <x:c r="D19">
        <x:v>971.62720565890356</x:v>
      </x:c>
      <x:c r="E19" s="6">
        <x:v>971.62720565890299</x:v>
      </x:c>
      <x:c r="F19">
        <x:v>1087.853415324648</x:v>
      </x:c>
      <x:c r="G19">
        <x:v>0.1068399547470196</x:v>
      </x:c>
      <x:c r="H19">
        <x:f t="shared" si="0"/>
        <x:v>0.1068399547480022</x:v>
      </x:c>
      <x:c r="I19">
        <x:f t="shared" si="1"/>
        <x:v>9.826028879444948E-13</x:v>
      </x:c>
      <x:c r="K19">
        <x:v>5097.3871762752533</x:v>
      </x:c>
      <x:c r="L19">
        <x:v>8.7396347522735596</x:v>
      </x:c>
      <x:c r="M19">
        <x:v>0.79939913749694824</x:v>
      </x:c>
      <x:c r="N19" t="s">
        <x:v>71</x:v>
      </x:c>
      <x:c r="O19">
        <x:v>0</x:v>
      </x:c>
      <x:c r="P19" t="s">
        <x:v>71</x:v>
      </x:c>
      <x:c r="Q19">
        <x:v>0</x:v>
      </x:c>
      <x:c r="R19" t="s">
        <x:v>204</x:v>
      </x:c>
      <x:c r="S19">
        <x:v>363.70476841926569</x:v>
      </x:c>
      <x:c r="T19" t="s">
        <x:v>71</x:v>
      </x:c>
      <x:c r="U19">
        <x:v>0</x:v>
      </x:c>
      <x:c r="V19" t="s">
        <x:v>205</x:v>
      </x:c>
      <x:c r="W19">
        <x:v>389.73399114608759</x:v>
      </x:c>
      <x:c r="X19" t="s">
        <x:v>71</x:v>
      </x:c>
      <x:c r="Y19">
        <x:v>0</x:v>
      </x:c>
      <x:c r="Z19" t="s">
        <x:v>206</x:v>
      </x:c>
      <x:c r="AA19">
        <x:v>0</x:v>
      </x:c>
      <x:c r="AB19" s="6" t="s">
        <x:v>207</x:v>
      </x:c>
      <x:c r="AC19" s="6">
        <x:v>971.62720565890299</x:v>
      </x:c>
      <x:c r="AD19" t="s">
        <x:v>208</x:v>
      </x:c>
      <x:c r="AE19">
        <x:v>13</x:v>
      </x:c>
      <x:c r="AF19" t="s">
        <x:v>209</x:v>
      </x:c>
      <x:c r="AG19">
        <x:v>3</x:v>
      </x:c>
      <x:c r="AH19">
        <x:v>33950</x:v>
      </x:c>
    </x:row>
    <x:row r="25">
      <x:c r="A25" s="7"/>
    </x:row>
    <x:row r="26">
      <x:c r="A26"/>
    </x:row>
    <x:row r="27">
      <x:c r="A2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5"/>
  <x:cols>
    <x:col min="1" max="1" width="29.5" customWidth="1"/>
    <x:col min="2" max="2" width="12.75" customWidth="1"/>
    <x:col min="3" max="4" width="12.75" style="18" customWidth="1"/>
    <x:col min="5" max="5" width="12.75" style="21" customWidth="1"/>
    <x:col min="6" max="6" width="13.25" style="18" customWidth="1"/>
    <x:col min="7" max="7" width="12.75" style="21" customWidth="1"/>
  </x:cols>
  <x:sheetData>
    <x:row r="1">
      <x:c r="A1" s="11" t="s">
        <x:v>1</x:v>
      </x:c>
      <x:c r="B1" s="11" t="s">
        <x:v>2</x:v>
      </x:c>
      <x:c r="C1" s="15" t="s">
        <x:v>34</x:v>
      </x:c>
      <x:c r="D1" s="16" t="s">
        <x:v>35</x:v>
      </x:c>
      <x:c r="E1" s="19" t="s">
        <x:v>36</x:v>
      </x:c>
      <x:c r="F1" s="15" t="s">
        <x:v>210</x:v>
      </x:c>
      <x:c r="G1" s="22" t="s">
        <x:v>211</x:v>
      </x:c>
    </x:row>
    <x:row r="2">
      <x:c r="A2" s="12" t="s">
        <x:v>44</x:v>
      </x:c>
      <x:c r="B2" s="12" t="s">
        <x:v>45</x:v>
      </x:c>
      <x:c r="C2" s="17">
        <x:v>659.42835371532806</x:v>
      </x:c>
      <x:c r="D2" s="17">
        <x:v>712.16542499561831</x:v>
      </x:c>
      <x:c r="E2" s="20" t="n">
        <x:f>(D2-C2)/D2</x:f>
        <x:v>0.07405171527474073</x:v>
      </x:c>
      <x:c r="F2" s="17">
        <x:v>659.42835371532794</x:v>
      </x:c>
      <x:c r="G2" s="20" t="n">
        <x:f t="shared" ref="G2:G19" si="0">(D2-F2)/D2</x:f>
        <x:v>0.07405171527474089</x:v>
      </x:c>
    </x:row>
    <x:row r="3">
      <x:c r="A3" s="12" t="s">
        <x:v>44</x:v>
      </x:c>
      <x:c r="B3" s="13" t="s">
        <x:v>59</x:v>
      </x:c>
      <x:c r="C3" s="17">
        <x:v>960.68209273480022</x:v>
      </x:c>
      <x:c r="D3" s="17">
        <x:v>712.17174176169033</x:v>
      </x:c>
      <x:c r="E3" s="20" t="n">
        <x:f t="shared" ref="E3:E19" si="1">(D3-C3)/D3</x:f>
        <x:v>-0.3489472221382625</x:v>
      </x:c>
      <x:c r="F3" s="17">
        <x:v>653.35576616644801</x:v>
      </x:c>
      <x:c r="G3" s="20">
        <x:f t="shared" si="0"/>
        <x:v>8.25867865098803E-2</x:v>
      </x:c>
    </x:row>
    <x:row r="4">
      <x:c r="A4" s="12" t="s">
        <x:v>44</x:v>
      </x:c>
      <x:c r="B4" s="12" t="s">
        <x:v>70</x:v>
      </x:c>
      <x:c r="C4" s="17">
        <x:v>654.33687575785461</x:v>
      </x:c>
      <x:c r="D4" s="17">
        <x:v>691.90596083459445</x:v>
      </x:c>
      <x:c r="E4" s="20">
        <x:f t="shared" si="1"/>
        <x:v>5.4297964179153856E-2</x:v>
      </x:c>
      <x:c r="F4" s="17">
        <x:v>654.33687575785405</x:v>
      </x:c>
      <x:c r="G4" s="20">
        <x:f t="shared" si="0"/>
        <x:v>5.4297964179154674E-2</x:v>
      </x:c>
    </x:row>
    <x:row r="5">
      <x:c r="A5" s="12" t="s">
        <x:v>79</x:v>
      </x:c>
      <x:c r="B5" s="12" t="s">
        <x:v>45</x:v>
      </x:c>
      <x:c r="C5" s="17">
        <x:v>1384.236941275524</x:v>
      </x:c>
      <x:c r="D5" s="17">
        <x:v>1802.769225335506</x:v>
      </x:c>
      <x:c r="E5" s="20">
        <x:f t="shared" si="1"/>
        <x:v>0.23216076588066376</x:v>
      </x:c>
      <x:c r="F5" s="17">
        <x:v>1384.2369412755199</x:v>
      </x:c>
      <x:c r="G5" s="20">
        <x:f t="shared" si="0"/>
        <x:v>0.23216076588066603</x:v>
      </x:c>
    </x:row>
    <x:row r="6">
      <x:c r="A6" s="12" t="s">
        <x:v>79</x:v>
      </x:c>
      <x:c r="B6" s="14" t="s">
        <x:v>59</x:v>
      </x:c>
      <x:c r="C6" s="17">
        <x:v>1444.739816379237</x:v>
      </x:c>
      <x:c r="D6" s="17">
        <x:v>1685.3244543201031</x:v>
      </x:c>
      <x:c r="E6" s="20">
        <x:f t="shared" si="1"/>
        <x:v>0.14275271288217509</x:v>
      </x:c>
      <x:c r="F6" s="17">
        <x:v>1384.2369412755199</x:v>
      </x:c>
      <x:c r="G6" s="20">
        <x:f t="shared" si="0"/>
        <x:v>0.17865255101045127</x:v>
      </x:c>
    </x:row>
    <x:row r="7">
      <x:c r="A7" s="12" t="s">
        <x:v>79</x:v>
      </x:c>
      <x:c r="B7" s="12" t="s">
        <x:v>70</x:v>
      </x:c>
      <x:c r="C7" s="17">
        <x:v>1450.654516332984</x:v>
      </x:c>
      <x:c r="D7" s="17">
        <x:v>1792.4510799782629</x:v>
      </x:c>
      <x:c r="E7" s="20">
        <x:f t="shared" si="1"/>
        <x:v>0.19068669012122988</x:v>
      </x:c>
      <x:c r="F7" s="17">
        <x:v>1445.1525456250199</x:v>
      </x:c>
      <x:c r="G7" s="20">
        <x:f t="shared" si="0"/>
        <x:v>0.19375621361864709</x:v>
      </x:c>
    </x:row>
    <x:row r="8">
      <x:c r="A8" s="12" t="s">
        <x:v>107</x:v>
      </x:c>
      <x:c r="B8" s="12" t="s">
        <x:v>45</x:v>
      </x:c>
      <x:c r="C8" s="17">
        <x:v>1712.161190428767</x:v>
      </x:c>
      <x:c r="D8" s="17">
        <x:v>2079.9907349183809</x:v>
      </x:c>
      <x:c r="E8" s="20">
        <x:f t="shared" si="1"/>
        <x:v>0.17684191487711007</x:v>
      </x:c>
      <x:c r="F8" s="17">
        <x:v>1712.1611904287599</x:v>
      </x:c>
      <x:c r="G8" s="20">
        <x:f t="shared" si="0"/>
        <x:v>0.17684191487711345</x:v>
      </x:c>
    </x:row>
    <x:row r="9">
      <x:c r="A9" s="12" t="s">
        <x:v>107</x:v>
      </x:c>
      <x:c r="B9" s="12" t="s">
        <x:v>59</x:v>
      </x:c>
      <x:c r="C9" s="17">
        <x:v>1774.563008774611</x:v>
      </x:c>
      <x:c r="D9" s="17">
        <x:v>2039.1417640042021</x:v>
      </x:c>
      <x:c r="E9" s="20">
        <x:f t="shared" si="1"/>
        <x:v>0.12975005460632888</x:v>
      </x:c>
      <x:c r="F9" s="17">
        <x:v>1774.5630087746099</x:v>
      </x:c>
      <x:c r="G9" s="20">
        <x:f t="shared" si="0"/>
        <x:v>0.12975005460632943</x:v>
      </x:c>
    </x:row>
    <x:row r="10">
      <x:c r="A10" s="12" t="s">
        <x:v>107</x:v>
      </x:c>
      <x:c r="B10" s="12" t="s">
        <x:v>70</x:v>
      </x:c>
      <x:c r="C10" s="17">
        <x:v>1789.5446621814281</x:v>
      </x:c>
      <x:c r="D10" s="17">
        <x:v>1964.7221135582031</x:v>
      </x:c>
      <x:c r="E10" s="20">
        <x:f t="shared" si="1"/>
        <x:v>8.9161439252862337E-2</x:v>
      </x:c>
      <x:c r="F10" s="17">
        <x:v>1789.5446621814201</x:v>
      </x:c>
      <x:c r="G10" s="20">
        <x:f t="shared" si="0"/>
        <x:v>8.916143925286639E-2</x:v>
      </x:c>
    </x:row>
    <x:row r="11">
      <x:c r="A11" s="12" t="s">
        <x:v>134</x:v>
      </x:c>
      <x:c r="B11" s="12" t="s">
        <x:v>45</x:v>
      </x:c>
      <x:c r="C11" s="17">
        <x:v>1161.1833038376151</x:v>
      </x:c>
      <x:c r="D11" s="17">
        <x:v>979.44045796295495</x:v>
      </x:c>
      <x:c r="E11" s="20">
        <x:f t="shared" si="1"/>
        <x:v>-0.18555782987834685</x:v>
      </x:c>
      <x:c r="F11" s="17">
        <x:v>776.32963616656002</x:v>
      </x:c>
      <x:c r="G11" s="20">
        <x:f t="shared" si="0"/>
        <x:v>0.20737434332539806</x:v>
      </x:c>
    </x:row>
    <x:row r="12">
      <x:c r="A12" s="12" t="s">
        <x:v>134</x:v>
      </x:c>
      <x:c r="B12" s="13" t="s">
        <x:v>59</x:v>
      </x:c>
      <x:c r="C12" s="17">
        <x:v>1161.1833038376151</x:v>
      </x:c>
      <x:c r="D12" s="17">
        <x:v>946.87337926586406</x:v>
      </x:c>
      <x:c r="E12" s="20">
        <x:f t="shared" si="1"/>
        <x:v>-0.22633430114796466</x:v>
      </x:c>
      <x:c r="F12" s="17">
        <x:v>860.77038643838898</x:v>
      </x:c>
      <x:c r="G12" s="20">
        <x:f t="shared" si="0"/>
        <x:v>9.0934009459884696E-2</x:v>
      </x:c>
    </x:row>
    <x:row r="13">
      <x:c r="A13" s="12" t="s">
        <x:v>134</x:v>
      </x:c>
      <x:c r="B13" s="12" t="s">
        <x:v>70</x:v>
      </x:c>
      <x:c r="C13" s="17">
        <x:v>850.59624838730099</x:v>
      </x:c>
      <x:c r="D13" s="17">
        <x:v>943.75147719309575</x:v>
      </x:c>
      <x:c r="E13" s="20">
        <x:f t="shared" si="1"/>
        <x:v>9.8707372710935409E-2</x:v>
      </x:c>
      <x:c r="F13" s="17">
        <x:v>850.59624838730099</x:v>
      </x:c>
      <x:c r="G13" s="20">
        <x:f t="shared" si="0"/>
        <x:v>9.8707372710935409E-2</x:v>
      </x:c>
    </x:row>
    <x:row r="14">
      <x:c r="A14" s="12" t="s">
        <x:v>160</x:v>
      </x:c>
      <x:c r="B14" s="12" t="s">
        <x:v>45</x:v>
      </x:c>
      <x:c r="C14" s="17">
        <x:v>1250.1947717662119</x:v>
      </x:c>
      <x:c r="D14" s="17">
        <x:v>1524.745437830753</x:v>
      </x:c>
      <x:c r="E14" s="20">
        <x:f t="shared" si="1"/>
        <x:v>0.18006328089437851</x:v>
      </x:c>
      <x:c r="F14" s="17">
        <x:v>1250.1947717662099</x:v>
      </x:c>
      <x:c r="G14" s="20">
        <x:f t="shared" si="0"/>
        <x:v>0.18006328089437987</x:v>
      </x:c>
    </x:row>
    <x:row r="15">
      <x:c r="A15" s="12" t="s">
        <x:v>160</x:v>
      </x:c>
      <x:c r="B15" s="13" t="s">
        <x:v>59</x:v>
      </x:c>
      <x:c r="C15" s="17">
        <x:v>1323.777008817603</x:v>
      </x:c>
      <x:c r="D15" s="17">
        <x:v>1472.4278172750419</x:v>
      </x:c>
      <x:c r="E15" s="20">
        <x:f t="shared" si="1"/>
        <x:v>0.10095626197319503</x:v>
      </x:c>
      <x:c r="F15" s="17">
        <x:v>1323.7770088176001</x:v>
      </x:c>
      <x:c r="G15" s="20">
        <x:f t="shared" si="0"/>
        <x:v>0.10095626197319704</x:v>
      </x:c>
    </x:row>
    <x:row r="16">
      <x:c r="A16" s="12" t="s">
        <x:v>160</x:v>
      </x:c>
      <x:c r="B16" s="12" t="s">
        <x:v>70</x:v>
      </x:c>
      <x:c r="C16" s="17">
        <x:v>1325.2101421340681</x:v>
      </x:c>
      <x:c r="D16" s="17">
        <x:v>1458.1181839357521</x:v>
      </x:c>
      <x:c r="E16" s="20">
        <x:f t="shared" si="1"/>
        <x:v>9.1150390459392452E-2</x:v>
      </x:c>
      <x:c r="F16" s="17">
        <x:v>1325.2101421340601</x:v>
      </x:c>
      <x:c r="G16" s="20">
        <x:f t="shared" si="0"/>
        <x:v>9.1150390459397906E-2</x:v>
      </x:c>
    </x:row>
    <x:row r="17">
      <x:c r="A17" s="12" t="s">
        <x:v>185</x:v>
      </x:c>
      <x:c r="B17" s="12" t="s">
        <x:v>45</x:v>
      </x:c>
      <x:c r="C17" s="17">
        <x:v>962.51497629767039</x:v>
      </x:c>
      <x:c r="D17" s="17">
        <x:v>1088.409909908595</x:v>
      </x:c>
      <x:c r="E17" s="20">
        <x:f t="shared" si="1"/>
        <x:v>0.11566867635512182</x:v>
      </x:c>
      <x:c r="F17" s="17">
        <x:v>962.51497629767005</x:v>
      </x:c>
      <x:c r="G17" s="20">
        <x:f t="shared" si="0"/>
        <x:v>0.11566867635512214</x:v>
      </x:c>
    </x:row>
    <x:row r="18">
      <x:c r="A18" s="12" t="s">
        <x:v>185</x:v>
      </x:c>
      <x:c r="B18" s="13" t="s">
        <x:v>59</x:v>
      </x:c>
      <x:c r="C18" s="17">
        <x:v>960.66934130396578</x:v>
      </x:c>
      <x:c r="D18" s="17">
        <x:v>1100.707412016385</x:v>
      </x:c>
      <x:c r="E18" s="20">
        <x:f t="shared" si="1"/>
        <x:v>0.12722551804741969</x:v>
      </x:c>
      <x:c r="F18" s="17">
        <x:v>960.66934130396498</x:v>
      </x:c>
      <x:c r="G18" s="20">
        <x:f t="shared" si="0"/>
        <x:v>0.12722551804742041</x:v>
      </x:c>
    </x:row>
    <x:row r="19">
      <x:c r="A19" s="12" t="s">
        <x:v>185</x:v>
      </x:c>
      <x:c r="B19" s="12" t="s">
        <x:v>70</x:v>
      </x:c>
      <x:c r="C19" s="17">
        <x:v>971.62720565890356</x:v>
      </x:c>
      <x:c r="D19" s="17">
        <x:v>1087.853415324648</x:v>
      </x:c>
      <x:c r="E19" s="20">
        <x:f t="shared" si="1"/>
        <x:v>0.10683995474800169</x:v>
      </x:c>
      <x:c r="F19" s="17">
        <x:v>971.62720565890299</x:v>
      </x:c>
      <x:c r="G19" s="20">
        <x:f t="shared" si="0"/>
        <x:v>0.1068399547480022</x:v>
      </x:c>
    </x:row>
  </x:sheetData>
  <x:pageMargins left="0.7" right="0.7" top="0.75" bottom="0.75" header="0.3" footer="0.3"/>
</x:worksheet>
</file>