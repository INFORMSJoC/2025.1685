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18742\Desktop\t_large\"/>
    </mc:Choice>
  </mc:AlternateContent>
  <xr:revisionPtr revIDLastSave="0" documentId="13_ncr:1_{DFF14AE7-3BA8-4305-9CAC-6CA09C40FC0E}" xr6:coauthVersionLast="47" xr6:coauthVersionMax="47" xr10:uidLastSave="{00000000-0000-0000-0000-000000000000}"/>
  <bookViews>
    <workbookView xWindow="-120" yWindow="-120" windowWidth="38640" windowHeight="15840" activeTab="1" xr2:uid="{00000000-000D-0000-FFFF-FFFF00000000}"/>
  </bookViews>
  <sheets>
    <sheet name="Sheet1" sheetId="1" r:id="rId1"/>
    <sheet name="use" sheetId="2" r:id="rId2"/>
    <sheet name="Sheet4" sheetId="4" r:id="rId3"/>
  </sheets>
  <definedNames>
    <definedName name="_xlnm._FilterDatabase" localSheetId="1" hidden="1">use!$A$1:$AH$27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H3" i="2"/>
  <c r="H4" i="2"/>
  <c r="H5" i="2"/>
  <c r="H6" i="2"/>
  <c r="H7" i="2"/>
  <c r="H8" i="2"/>
  <c r="I8" i="2" s="1"/>
  <c r="H9" i="2"/>
  <c r="H10" i="2"/>
  <c r="I10" i="2" s="1"/>
  <c r="H11" i="2"/>
  <c r="I11" i="2" s="1"/>
  <c r="H12" i="2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" i="2"/>
  <c r="I3" i="2"/>
  <c r="I4" i="2"/>
  <c r="I5" i="2"/>
  <c r="I6" i="2"/>
  <c r="I7" i="2"/>
  <c r="I9" i="2"/>
  <c r="I12" i="2"/>
  <c r="I2" i="2"/>
</calcChain>
</file>

<file path=xl/sharedStrings.xml><?xml version="1.0" encoding="utf-8"?>
<sst xmlns="http://schemas.openxmlformats.org/spreadsheetml/2006/main" count="645" uniqueCount="236">
  <si>
    <t>file_name</t>
  </si>
  <si>
    <t>node-hub-trip-passenger</t>
  </si>
  <si>
    <t>tag</t>
  </si>
  <si>
    <t>agg_cut</t>
  </si>
  <si>
    <t>parallel method</t>
  </si>
  <si>
    <t>arc elim</t>
  </si>
  <si>
    <t>Delta type</t>
  </si>
  <si>
    <t>lp warm start</t>
  </si>
  <si>
    <t>solution approach</t>
  </si>
  <si>
    <t>primal also dual</t>
  </si>
  <si>
    <t>time read data</t>
  </si>
  <si>
    <t>time model creation</t>
  </si>
  <si>
    <t>time preprocess</t>
  </si>
  <si>
    <t>min time preprocess</t>
  </si>
  <si>
    <t>max time preprocess</t>
  </si>
  <si>
    <t>min iter preprocess</t>
  </si>
  <si>
    <t>max iter preprocess</t>
  </si>
  <si>
    <t>ave iter preprocess</t>
  </si>
  <si>
    <t>solution time</t>
  </si>
  <si>
    <t>total solution time</t>
  </si>
  <si>
    <t>solution time MP</t>
  </si>
  <si>
    <t>total solution time MP</t>
  </si>
  <si>
    <t>solution time SP</t>
  </si>
  <si>
    <t>total solution time SP</t>
  </si>
  <si>
    <t>time retrieve MP info</t>
  </si>
  <si>
    <t>total time retrieve MP info</t>
  </si>
  <si>
    <t>time retrieve SP info</t>
  </si>
  <si>
    <t>total time retrieve SP info</t>
  </si>
  <si>
    <t>time update MP</t>
  </si>
  <si>
    <t>total time update MP</t>
  </si>
  <si>
    <t>time update SP</t>
  </si>
  <si>
    <t>total time update SP</t>
  </si>
  <si>
    <t>LB record</t>
  </si>
  <si>
    <t>UB record</t>
  </si>
  <si>
    <t>final_lb</t>
  </si>
  <si>
    <t>final_ub</t>
  </si>
  <si>
    <t>gap</t>
  </si>
  <si>
    <t>MILPGap</t>
  </si>
  <si>
    <t>pure solve time</t>
  </si>
  <si>
    <t>n iters</t>
  </si>
  <si>
    <t>n_cut_each_iter</t>
  </si>
  <si>
    <t>n_node_BnB</t>
  </si>
  <si>
    <t>unexplored_sub_prob</t>
  </si>
  <si>
    <t>node81-hub6-tripN1000-scenario30-time2025-07-10-22-51-41.</t>
  </si>
  <si>
    <t>['81', '6', '1000', '30']</t>
  </si>
  <si>
    <t>inexactCCG</t>
  </si>
  <si>
    <t>process_1_core</t>
  </si>
  <si>
    <t>MST</t>
  </si>
  <si>
    <t>primal</t>
  </si>
  <si>
    <t>[207.07587838172913, 182.12423610687256, 225.33634448051453, 210.7648468017578, 441.82391834259033, 482.3296458721161, 554.3059947490692, 538.3726460933685, 891.9045877456665, 887.471951007843, 768.7024302482605]</t>
  </si>
  <si>
    <t>[0.013776302337646484, 12.51021933555603, 60.24816656112671, 42.19382071495056, 262.80052971839905, 314.4308705329895, 383.03327989578247, 365.4539165496826, 726.4068229198456, 720.877409696579, 600.633627653122]</t>
  </si>
  <si>
    <t>[10.370237350463867, 10.704861640930176, 10.45152759552002, 10.73989486694336, 12.67625641822815, 10.352503538131714, 11.358927249908447, 12.031518459320068, 9.047197103500366, 10.145716905593872, 11.088469505310059]</t>
  </si>
  <si>
    <t>[0.05417990684509277, 0.05976414680480957, 0.07982587814331055, 0.0837550163269043, 0.09750032424926758, 0.08350396156311035, 0.11498570442199707, 0.0907752513885498, 0.11621308326721191, 0.10221457481384277, 0.0900881290435791]</t>
  </si>
  <si>
    <t>[4.601176738739014, 4.553948879241943, 4.679696798324585, 4.856016397476196, 4.8859522342681885, 4.73600697517395, 4.757427215576172, 4.794226408004761, 4.632648229598999, 4.612792730331421, 4.795770168304443]</t>
  </si>
  <si>
    <t>[36.40897011756897, 1.7448914051055908, 0.29753684997558594, 2.059886932373047, 1.8840646743774414, 2.029885768890381, 1.8233349323272705, 1.69590163230896, 0.327894926071167, 0.29665374755859375, 0.3217301368713379]</t>
  </si>
  <si>
    <t>[0, 0, 0, 0, 0, 0, 0, 0, 0, 0, 0]</t>
  </si>
  <si>
    <t>[575.8284250802727, 575.8284250802727, 575.8284250802727, 650.745749867221, 650.745749867221, 650.745749867221, 650.745749867221, 650.745749867221, 650.745749867221, 659.4142923653444, 659.4283537153281]</t>
  </si>
  <si>
    <t>[47684.14471840198, 979.6997204034375, 761.9870282944124, 761.9870282944124, 712.1654249956183, 712.1654249956183, 712.1654249956183, 712.1654249956183, 712.1654249956183, 712.1654249956183, 712.1654249956183]</t>
  </si>
  <si>
    <t>[6516, 2818, 3905, 3480, 3422, 3296, 3024]</t>
  </si>
  <si>
    <t>classicCCG</t>
  </si>
  <si>
    <t>[219.81961154937744, 191.1939353942871, 333.12916111946106, 3541.343111515045]</t>
  </si>
  <si>
    <t>[0.015144109725952148, 19.70232629776001, 165.1172947883606, 3374.194255590439]</t>
  </si>
  <si>
    <t>[9.934120893478394, 11.109911918640137, 10.27133321762085, 10.210192441940308]</t>
  </si>
  <si>
    <t>[0.05600428581237793, 0.07537031173706055, 0.08560824394226074, 0.1059720516204834]</t>
  </si>
  <si>
    <t>[4.991136789321899, 5.031023979187012, 4.701307058334351, 4.7963948249816895]</t>
  </si>
  <si>
    <t>[6.67572021484375e-06, 2.384185791015625e-05, 9.059906005859375e-06, 1.1444091796875e-05]</t>
  </si>
  <si>
    <t>[0, 0, 0, 0]</t>
  </si>
  <si>
    <t>[575.8284250802727, 960.6820927348002, 652.3438424894772, 653.3557661664488]</t>
  </si>
  <si>
    <t>[47684.14471840198, 979.6997204034375, 713.1596373320698, 712.1717417616903]</t>
  </si>
  <si>
    <t>[9341, 3752, 5012, 4424]</t>
  </si>
  <si>
    <t>callbackCCG</t>
  </si>
  <si>
    <t>[]</t>
  </si>
  <si>
    <t>[10.034018754959106, 10.515199422836304, 8.933746337890625, 8.972778558731079, 10.753376960754395, 10.652207374572754, 10.809006929397583, 12.288979291915894, 12.781506776809692, 12.422326564788818, 12.553609371185303, 12.15808653831482, 12.880917072296143, 11.23614239692688, 11.018944263458252, 11.617035150527954, 11.508382797241211, 11.78264307975769, 11.602752447128296, 11.463807106018066, 11.446073055267334, 11.244452714920044, 11.902292490005493, 10.750895261764526]</t>
  </si>
  <si>
    <t>[4.979498863220215, 4.759242296218872, 4.855096817016602, 4.923081398010254, 4.873940944671631, 5.137537002563477, 5.341118335723877, 5.451178312301636, 5.536590814590454, 5.700608491897583, 5.291810750961304, 5.1689746379852295, 5.42843222618103, 5.325462818145752, 4.8847832679748535, 5.254095077514648, 5.118952512741089, 4.965076208114624, 4.900168418884277, 4.838721513748169, 4.942065477371216, 4.842171907424927, 4.8558290004730225, 4.828844308853149]</t>
  </si>
  <si>
    <t>[0, 0, 0, 0, 0, 0, 0, 0, 0, 0, 0, 0, 0, 0, 0, 0, 0, 0, 0, 0, 0, 0, 0, 0]</t>
  </si>
  <si>
    <t>[-1e+100, -1e+100, -1e+100, -1e+100, -1e+100, 575.82842516878, 635.281689182434, 635.281689182434, 635.281689182434, 636.5250716520387, 636.5250716520387, 636.5250716520387, 636.5250716520387, 640.7000920853236, 640.7000920853236, 644.3201894318003, 644.3201894318003, 648.6023226029587, 648.6023226029587, 648.6023226029587, 651.7056807365598, 651.7056807365598, 654.3368757578546]</t>
  </si>
  <si>
    <t>[47684.14471840198, 979.6997204034375, 979.6997204034375, 979.6997204034375, 979.6997204034375, 979.6997204034375, 979.6997204034375, 761.9870282944124, 761.9870282944124, 759.8864178869621, 759.8864178869621, 722.0457281572568, 722.0457281572568, 712.1717417616903, 712.1717417616903, 712.1717417616903, 712.1717417616903, 712.1717417616903, 704.8057471933229, 704.8057471933229, 704.8057471933229, 704.8057471933229, 691.9059608345945, 691.9059608345945]</t>
  </si>
  <si>
    <t>[6516, 3752, 10813, 10813, 3752, 6516, 5940, 5943, 1602, 5340, 1358, 4712, 3279, 5516, 1675, 5848, 5603, 4880, 5110, 1823, 4796, 3828, 3122]</t>
  </si>
  <si>
    <t>node81-hub6-tripN1000-scenario50-time2025-07-08-09-29-47.</t>
  </si>
  <si>
    <t>['81', '6', '1000', '50']</t>
  </si>
  <si>
    <t>[787.6962814331055, 1329.3666996955872, 1352.9308319091797, 1367.1069560050964, 1349.1937663555145, 1154.2282874584198]</t>
  </si>
  <si>
    <t>[0.05034613609313965, 690.1846835613251, 726.7518985271454, 737.7002129554749, 727.1002671718597, 538.104523897171]</t>
  </si>
  <si>
    <t>[27.8495831489563, 34.879719257354736, 32.64015197753906, 32.031097173690796, 30.895612716674805, 31.894458293914795]</t>
  </si>
  <si>
    <t>[0.18970108032226562, 0.30089902877807617, 0.5082576274871826, 0.5214273929595947, 0.4906184673309326, 0.34834742546081543]</t>
  </si>
  <si>
    <t>[44.24297046661377, 44.132075786590576, 46.061808586120605, 47.08431601524353, 45.63104486465454, 45.54191517829895]</t>
  </si>
  <si>
    <t>[213.2217185497284, 33.67447257041931, 1.8594865798950195, 1.788893461227417, 1.6817498207092285, 1.6582295894622803]</t>
  </si>
  <si>
    <t>[0, 0, 0, 0, 0, 0]</t>
  </si>
  <si>
    <t>[1384.2369411366262, 1384.2369411366262, 1384.2369411366262, 1384.2369412755243, 1384.2369412755243, 1384.2369412755243]</t>
  </si>
  <si>
    <t>[134235.2870621794, 1802.7692253355056, 1802.7692253355056, 1802.7692253355056, 1802.7692253355056, 1802.7692253355056]</t>
  </si>
  <si>
    <t>[31392, 28446]</t>
  </si>
  <si>
    <t>[861.3497140407562, 2074.8547053337097, 2717.233938217163]</t>
  </si>
  <si>
    <t>[0.051091670989990234, 1431.3685529232025, 2083.8669974803925]</t>
  </si>
  <si>
    <t>[30.750332355499268, 34.94636011123657, 31.175121784210205]</t>
  </si>
  <si>
    <t>[0.18781518936157227, 0.25473904609680176, 0.29295873641967773]</t>
  </si>
  <si>
    <t>[46.65753197669983, 47.077199935913086, 48.03690552711487]</t>
  </si>
  <si>
    <t>[5.7220458984375e-06, 9.775161743164062e-06, 8.58306884765625e-06]</t>
  </si>
  <si>
    <t>[0, 0, 0]</t>
  </si>
  <si>
    <t>[1384.2369411366262, 1444.7398163792366, 1384.2369412755231]</t>
  </si>
  <si>
    <t>[134235.2870621794, 1685.324454320103, 1685.324454320103]</t>
  </si>
  <si>
    <t>[35104, 28099, 2773]</t>
  </si>
  <si>
    <t>[31.606683492660522, 37.3133065700531, 31.864452600479126, 31.212486505508423, 35.4638135433197, 31.560072422027588, 34.253477334976196, 38.29380202293396, 35.37423229217529, 35.81364297866821, 37.11040377616882, 36.065221548080444]</t>
  </si>
  <si>
    <t>[47.47894358634949, 48.55563712120056, 48.7345552444458, 46.87867021560669, 46.381545305252075, 53.622884035110474, 50.38676190376282, 52.940855741500854, 52.83088159561157, 49.89912819862366, 46.109084129333496, 50.024343490600586]</t>
  </si>
  <si>
    <t>[0, 0, 0, 0, 0, 0, 0, 0, 0, 0, 0, 0]</t>
  </si>
  <si>
    <t>[-1e+100, -1e+100, -1e+100, -1e+100, -1e+100, 1384.2369412755318, 1443.6955169110538, 1443.6955169110538, 1443.6955169110538, 1445.1525456250256, 1445.1525456250256, 1450.6545163329836]</t>
  </si>
  <si>
    <t>[134235.2870621794, 1828.4450338344413, 1828.4450338344413, 1828.4450338344413, 1828.4450338344413, 1828.4450338344413, 1828.4450338344413, 1802.7692253355056, 1802.7692253355056, 1792.4510799782634, 1792.4510799782634, 1792.4510799782634]</t>
  </si>
  <si>
    <t>[31392, 15614, 38048, 38048, 15614, 31392, 28289, 28696, 6859, 28500, 8875]</t>
  </si>
  <si>
    <t>node81-hub6-tripN1200-scenario30-time2025-07-08-09-28-50.</t>
  </si>
  <si>
    <t>['81', '6', '1200', '30']</t>
  </si>
  <si>
    <t>[497.608439207077, 687.9802236557007, 909.0032253265381, 1133.6166450977325, 1122.4839460849762, 1151.516099691391, 818.2383961677551]</t>
  </si>
  <si>
    <t>[0.03476238250732422, 297.83108353614807, 507.59685492515564, 756.5959377288818, 731.0613398551941, 742.5982210636139, 418.4499487876892]</t>
  </si>
  <si>
    <t>[18.555481433868408, 21.890408277511597, 23.628530979156494, 20.58985948562622, 21.108428478240967, 22.596190214157104, 21.454832315444946]</t>
  </si>
  <si>
    <t>[0.13210797309875488, 0.20484232902526855, 0.19919037818908691, 0.2259969711303711, 0.34157490730285645, 0.2403876781463623, 0.20696544647216797]</t>
  </si>
  <si>
    <t>[20.775779008865356, 20.739927053451538, 22.102325677871704, 21.617732763290405, 21.45578384399414, 22.463056564331055, 21.757715940475464]</t>
  </si>
  <si>
    <t>[134.19541025161743, 18.15897846221924, 22.81979274749756, 1.1818232536315918, 1.3049535751342773, 1.3091392517089844, 1.225860357284546]</t>
  </si>
  <si>
    <t>[0, 0, 0, 0, 0, 0, 0]</t>
  </si>
  <si>
    <t>[1712.1611902727855, 1712.1611902727855, 1712.1611902727855, 1712.1611902727855, 1712.1611904287674, 1712.1611904287674, 1712.1611904287674]</t>
  </si>
  <si>
    <t>[203388.23680645917, 2200.045205068318, 2079.990734918381, 2079.990734918381, 2079.990734918381, 2079.990734918381, 2079.990734918381]</t>
  </si>
  <si>
    <t>[21759, 19307, 18531]</t>
  </si>
  <si>
    <t>[560.6064293384552, 781.8822045326233, 3533.892595052719]</t>
  </si>
  <si>
    <t>[0.03832650184631348, 391.9120740890503, 3143.463963031769]</t>
  </si>
  <si>
    <t>[22.749068021774292, 21.893191814422607, 21.45633053779602]</t>
  </si>
  <si>
    <t>[0.13137364387512207, 0.1829369068145752, 0.21769142150878906]</t>
  </si>
  <si>
    <t>[20.87776780128479, 20.627297163009644, 20.77089524269104]</t>
  </si>
  <si>
    <t>[5.4836273193359375e-06, 1.1205673217773438e-05, 1.1205673217773438e-05]</t>
  </si>
  <si>
    <t>[1712.1611902727855, 1772.6640655324652, 1774.563008774611]</t>
  </si>
  <si>
    <t>[203388.23680645917, 2050.7079387024555, 2039.1417640042016]</t>
  </si>
  <si>
    <t>[24107, 18962, 18979]</t>
  </si>
  <si>
    <t>[19.57127356529236, 23.06465482711792, 20.966790676116943, 24.189711570739746, 27.666656494140625, 23.8893141746521, 24.226157426834106, 28.596847534179688, 25.95000147819519, 25.674991607666016, 25.084490299224854, 23.708033323287964, 24.84575057029724, 24.20871090888977, 23.594547271728516, 25.49003028869629]</t>
  </si>
  <si>
    <t>[21.12534737586975, 21.461838006973267, 24.142417907714844, 23.33117365837097, 23.897382497787476, 23.394357442855835, 23.74826145172119, 24.68720006942749, 20.953643083572388, 22.98810124397278, 22.65567922592163, 22.675697803497314, 21.84228014945984, 20.82746434211731, 21.1165132522583, 21.44362473487854]</t>
  </si>
  <si>
    <t>[0, 0, 0, 0, 0, 0, 0, 0, 0, 0, 0, 0, 0, 0, 0, 0]</t>
  </si>
  <si>
    <t>[-1e+100, -1e+100, -1e+100, -1e+100, -1e+100, 1712.161190428771, 1771.6348177991083, 1771.6348177991083, 1771.6348177991083, 1772.9745170241672, 1772.9745170241672, 1781.5689010539766, 1781.5689010539766, 1781.5689010539766, 1789.5446621814278]</t>
  </si>
  <si>
    <t>[203388.23680645917, 2158.1132283096917, 2158.1132283096917, 2158.1132283096917, 2158.1132283096917, 2158.1132283096917, 2158.1132283096917, 2158.1132283096917, 2158.1132283096917, 2119.139957713174, 2119.139957713174, 2119.139957713174, 2050.9332438667957, 2050.9332438667957, 1964.7221135582029, 1964.7221135582029]</t>
  </si>
  <si>
    <t>[21759, 9887, 26098, 26098, 9887, 21759, 19887, 19375, 4642, 17081, 4823, 18952, 16115, 5272, 18232]</t>
  </si>
  <si>
    <t>node81-hub6-tripN1200-scenario50-time2025-07-09-14-34-47.</t>
  </si>
  <si>
    <t>['81', '6', '1200', '50']</t>
  </si>
  <si>
    <t>[473.01629734039307, 427.9406280517578, 413.9601275920868, 1134.7242903709412, 746.5515286922455]</t>
  </si>
  <si>
    <t>[0.03197050094604492, 30.101282835006714, 32.09645628929138, 722.9574730396271, 332.9804925918579]</t>
  </si>
  <si>
    <t>[19.395100831985474, 24.357160806655884, 23.10527801513672, 25.366933345794678, 25.582563400268555]</t>
  </si>
  <si>
    <t>[0.1287083625793457, 0.16799283027648926, 0.1823875904083252, 0.22345757484436035, 0.1714305877685547]</t>
  </si>
  <si>
    <t>[21.06488609313965, 22.44117546081543, 21.357980489730835, 23.02735924720764, 21.670602321624756]</t>
  </si>
  <si>
    <t>[101.07286214828491, 0.8997631072998047, 5.572858810424805, 0.8574404716491699, 0.7496767044067383]</t>
  </si>
  <si>
    <t>[0, 0, 0, 0, 0]</t>
  </si>
  <si>
    <t>[776.3296361665602, 776.3296361665602, 1161.1833038376149, 1161.1833038376149, 1161.1833038376149]</t>
  </si>
  <si>
    <t>[64584.344024841914, 1189.7588375751225, 1189.7588375751225, 1189.7588375751225, 979.440457962955]</t>
  </si>
  <si>
    <t>[14060, 6341]</t>
  </si>
  <si>
    <t>[474.3058993816376, 413.58259534835815, 507.7654457092285, 3703.660447359085]</t>
  </si>
  <si>
    <t>[0.03138566017150879, 48.45393943786621, 146.9589660167694, 3324.03999710083]</t>
  </si>
  <si>
    <t>[18.13506770133972, 22.030161142349243, 21.022407054901123, 21.66404414176941]</t>
  </si>
  <si>
    <t>[0.12680435180664062, 0.25172924995422363, 0.16948866844177246, 0.24791336059570312]</t>
  </si>
  <si>
    <t>[20.635029792785645, 20.817088842391968, 20.88512945175171, 21.594476222991943]</t>
  </si>
  <si>
    <t>[9.059906005859375e-06, 5.0067901611328125e-06, 9.298324584960938e-06, 1.0251998901367188e-05]</t>
  </si>
  <si>
    <t>[776.3296361665602, 1161.1833038376149, 860.770386438389, 859.3138259624242]</t>
  </si>
  <si>
    <t>[64584.344024841914, 1189.7588375751225, 979.440457962955, 946.8733792658641]</t>
  </si>
  <si>
    <t>[19091, 8141, 11421, 10335]</t>
  </si>
  <si>
    <t>[17.951108932495117, 22.50210475921631, 20.071897268295288, 20.848243951797485, 25.114552974700928, 20.634936094284058, 20.42124056816101, 24.444085121154785, 24.59234881401062, 25.91761326789856, 25.02312207221985, 26.337403059005737, 24.004029989242554, 23.722229957580566, 25.33453893661499, 22.214812517166138]</t>
  </si>
  <si>
    <t>[22.087727546691895, 21.92987370491028, 22.920925855636597, 22.818954706192017, 23.420981884002686, 21.78721809387207, 21.21097993850708, 23.53729224205017, 23.110710620880127, 21.852476358413696, 21.67341709136963, 21.533567190170288, 21.056145668029785, 20.93488311767578, 23.36102271080017, 21.164493322372437]</t>
  </si>
  <si>
    <t>[-1e+100, -1e+100, -1e+100, -1e+100, -1e+100, 776.3296362715877, 835.7756511507341, 835.7756511507341, 835.7756511507341, 836.8772287324165, 836.8772287324165, 836.8772287324165, 836.8772287324165, 838.3100566865028, 850.596248387301]</t>
  </si>
  <si>
    <t>[64584.344024841914, 1189.7588375751225, 1189.7588375751225, 1189.7588375751225, 1189.7588375751225, 1189.7588375751225, 1189.7588375751225, 979.440457962955, 979.440457962955, 946.8733792658641, 946.8733792658641, 943.7514771930958, 943.7514771930958, 943.7514771930958, 943.7514771930958, 943.7514771930958]</t>
  </si>
  <si>
    <t>[14060, 8141, 22066, 22066, 8141, 14060, 12697, 12714, 3329, 12648, 3817, 11862, 4355, 12931, 10637]</t>
  </si>
  <si>
    <t>node81-hub6-tripN1500-scenario30-time2025-07-09-14-36-02.</t>
  </si>
  <si>
    <t>['81', '6', '1500', '30']</t>
  </si>
  <si>
    <t>[424.3013346195221, 511.76335430145264, 931.628148317337, 1074.9066841602325, 1070.2261419296265, 1054.873387336731, 914.043890953064]</t>
  </si>
  <si>
    <t>[0.031270742416381836, 167.97835230827332, 556.6378452777863, 725.4437947273254, 725.1033835411072, 730.0787737369537, 570.2001268863678]</t>
  </si>
  <si>
    <t>[17.40901255607605, 21.274746656417847, 22.967225551605225, 19.471263647079468, 20.061731815338135, 16.57698965072632, 18.08863139152527]</t>
  </si>
  <si>
    <t>[0.10970902442932129, 0.1738271713256836, 0.17865300178527832, 0.23559093475341797, 0.18151044845581055, 0.34036779403686523, 0.18904519081115723]</t>
  </si>
  <si>
    <t>[16.872533082962036, 16.914607763290405, 17.32072639465332, 17.457957983016968, 17.65478253364563, 16.839595794677734, 18.10419750213623]</t>
  </si>
  <si>
    <t>[95.71890068054199, 12.765314817428589, 10.599969387054443, 0.9023239612579346, 0.9388306140899658, 0.8941459655761719, 1.0387442111968994]</t>
  </si>
  <si>
    <t>[1250.1947716182299, 1250.1947716182299, 1250.1947716182299, 1250.1947716182299, 1250.1947717662124, 1250.1947717662124, 1250.1947717662124]</t>
  </si>
  <si>
    <t>[121662.16915905653, 1594.3318909475972, 1524.7454378307527, 1524.7454378307527, 1524.7454378307527, 1524.7454378307527, 1524.7454378307527]</t>
  </si>
  <si>
    <t>[15445, 13958, 13529]</t>
  </si>
  <si>
    <t>[443.78464436531067, 541.9099969863892, 1455.501702785492, 2573.5067915916443]</t>
  </si>
  <si>
    <t>[0.031197547912597656, 201.72806096076965, 1106.7403635978699, 2217.132546186447]</t>
  </si>
  <si>
    <t>[16.617075443267822, 20.016675233840942, 19.68511414527893, 21.8785400390625]</t>
  </si>
  <si>
    <t>[0.10654163360595703, 0.16446161270141602, 0.17092061042785645, 0.33252620697021484]</t>
  </si>
  <si>
    <t>[17.31153702735901, 16.881432056427002, 17.319257020950317, 17.55204439163208]</t>
  </si>
  <si>
    <t>[1.3589859008789062e-05, 9.298324584960938e-06, 1.1444091796875e-05, 1.5735626220703125e-05]</t>
  </si>
  <si>
    <t>[1250.1947716182299, 1310.4433166638319, 1323.7770088176032, 1318.9532584217095]</t>
  </si>
  <si>
    <t>[121662.16915905653, 1515.056982498319, 1508.4405611617026, 1472.427817275042]</t>
  </si>
  <si>
    <t>[18829, 13513, 13985, 13353]</t>
  </si>
  <si>
    <t>[16.726393222808838, 21.15169620513916, 16.64088273048401, 18.55989360809326, 19.850836992263794, 19.636483669281006, 21.72397494316101, 24.939281225204468, 24.4539532661438, 25.124327659606934, 20.97706437110901, 23.179161071777344, 20.496896743774414, 20.133973836898804, 20.86134123802185, 19.29821491241455]</t>
  </si>
  <si>
    <t>[16.93422842025757, 16.507136344909668, 16.46148371696472, 20.385371923446655, 16.5396888256073, 16.88305902481079, 19.587754249572754, 18.613293170928955, 17.823137760162354, 17.66121816635132, 16.68012762069702, 19.003559589385986, 16.995834350585938, 16.459476709365845, 17.096075534820557, 16.602952241897583]</t>
  </si>
  <si>
    <t>[-1e+100, -1e+100, -1e+100, -1e+100, -1e+100, 1250.194771766223, 1309.6460222800727, 1309.6460222800727, 1309.6460222800727, 1311.166491660041, 1311.166491660041, 1314.4093188137945, 1325.2101421340683, 1325.2101421340683, 1325.2101421340683]</t>
  </si>
  <si>
    <t>[121662.16915905653, 1676.0588702679338, 1676.0588702679338, 1676.0588702679338, 1676.0588702679338, 1676.0588702679338, 1676.0588702679338, 1676.0588702679338, 1676.0588702679338, 1499.1502120012203, 1499.1502120012203, 1499.1502120012203, 1499.1502120012203, 1458.118183935752, 1458.118183935752, 1458.118183935752]</t>
  </si>
  <si>
    <t>[15445, 7754, 21106, 21106, 7754, 15445, 13961, 14302, 2952, 13865, 3653, 13215, 13314, 10944, 4057]</t>
  </si>
  <si>
    <t>node81-hub6-tripN1500-scenario50-time2025-07-09-14-34-52.</t>
  </si>
  <si>
    <t>['81', '6', '1500', '50']</t>
  </si>
  <si>
    <t>[556.010879278183, 643.0123112201691, 870.01660323143, 1141.0434637069702, 1152.853783607483, 1180.0786941051483, 1062.0437259674072]</t>
  </si>
  <si>
    <t>[0.03223085403442383, 197.7953634262085, 439.48353362083435, 734.5400862693787, 675.500406742096, 749.7210233211517, 654.1325278282166]</t>
  </si>
  <si>
    <t>[23.232621669769287, 26.041942596435547, 24.918482780456543, 20.688618183135986, 27.765514850616455, 22.241289615631104, 20.485763549804688]</t>
  </si>
  <si>
    <t>[0.14473748207092285, 0.23564624786376953, 0.2218935489654541, 0.22328948974609375, 0.23512506484985352, 0.22960472106933594, 0.2204267978668213]</t>
  </si>
  <si>
    <t>[28.000025987625122, 27.495020389556885, 26.986006498336792, 26.429001092910767, 28.293466806411743, 26.20452618598938, 26.506281852722168]</t>
  </si>
  <si>
    <t>[103.18122029304504, 12.33975338935852, 11.34685230255127, 0.9032289981842041, 12.48265266418457, 0.902360200881958, 0.9402620792388916]</t>
  </si>
  <si>
    <t>[898.3611296831483, 898.3611296831483, 898.3611296831483, 898.3611296831483, 962.5149762976704, 962.5149762976704, 962.5149762976704]</t>
  </si>
  <si>
    <t>[68639.08164851622, 1125.545640537771, 1107.8098367083635, 1107.8098367083635, 1088.4099099085947, 1088.4099099085947, 1088.4099099085947]</t>
  </si>
  <si>
    <t>[16485, 14639, 14154, 14125]</t>
  </si>
  <si>
    <t>[540.1516082286835, 652.6884009838104, 2710.3848502635956, 1438.174931526184]</t>
  </si>
  <si>
    <t>[0.033907413482666016, 227.69467282295227, 2274.7250719070435, 1012.4847354888916]</t>
  </si>
  <si>
    <t>[20.330482244491577, 24.133998155593872, 24.065279006958008, 22.65282678604126]</t>
  </si>
  <si>
    <t>[0.13233137130737305, 0.19525885581970215, 0.19687914848327637, 0.23478460311889648]</t>
  </si>
  <si>
    <t>[26.15542721748352, 25.951101303100586, 28.499349355697632, 26.683578729629517]</t>
  </si>
  <si>
    <t>[4.76837158203125e-06, 1.049041748046875e-05, 8.106231689453125e-06, 6.9141387939453125e-06]</t>
  </si>
  <si>
    <t>[898.3611296831483, 957.9923936177818, 960.6693413039658, 898.3611298023903]</t>
  </si>
  <si>
    <t>[68639.08164851622, 1125.545640537771, 1100.7074120163852, 1100.7074120163852]</t>
  </si>
  <si>
    <t>[21846, 14790, 15092, 452]</t>
  </si>
  <si>
    <t>[24.30254030227661, 28.285226106643677, 23.22047233581543, 22.816922426223755, 26.646239280700684, 24.75394082069397, 24.72077703475952, 29.159882307052612, 28.285995960235596, 26.637614011764526, 27.27638292312622, 26.420634269714355, 26.609067916870117, 24.569072723388672]</t>
  </si>
  <si>
    <t>[29.955710649490356, 28.995132446289062, 28.266809225082397, 28.690288305282593, 28.44973611831665, 28.440486669540405, 27.327792406082153, 27.021541595458984, 27.030162811279297, 27.498515367507935, 27.4732027053833, 27.323169469833374, 26.99721884727478, 26.264224529266357]</t>
  </si>
  <si>
    <t>[0, 0, 0, 0, 0, 0, 0, 0, 0, 0, 0, 0, 0, 0]</t>
  </si>
  <si>
    <t>[-1e+100, -1e+100, -1e+100, -1e+100, -1e+100, 898.3611298023994, 957.7977697539008, 957.7980943275662, 957.7980943275662, 957.7980943275662, 957.7980943275662, 960.5648592814424, 965.6346662883997, 971.6272056589036]</t>
  </si>
  <si>
    <t>[68639.08164851622, 1312.8846165707191, 1312.8846165707191, 1312.8846165707191, 1312.8846165707191, 1312.8846165707191, 1312.8846165707191, 1133.2232783724576, 1133.2232783724576, 1111.8826344718311, 1111.8826344718311, 1087.853415324648, 1087.853415324648, 1087.853415324648]</t>
  </si>
  <si>
    <t>[16485, 9008, 25127, 25127, 9008, 16485, 14706, 15035, 3725, 14382, 3634, 13941, 15339]</t>
  </si>
  <si>
    <t>gap_cal</t>
    <phoneticPr fontId="2" type="noConversion"/>
  </si>
  <si>
    <t>gap_error</t>
    <phoneticPr fontId="2" type="noConversion"/>
  </si>
  <si>
    <t>[575.8284250802727, 575.8284250802727, 575.8284250802727, 650.745749867221, 650.745749867221, 650.745749867221, 650.745749867221, 650.745749867221, 650.745749867221, 659.4142923653444, 659.4283537153281]</t>
    <phoneticPr fontId="2" type="noConversion"/>
  </si>
  <si>
    <t>node81-hub6-tripN1200-scenario50-time2025-07-09-14-34-47. Inexact CCG. Big M issue: gap&lt;0</t>
    <phoneticPr fontId="2" type="noConversion"/>
  </si>
  <si>
    <t>final_lb</t>
    <phoneticPr fontId="2" type="noConversion"/>
  </si>
  <si>
    <t>lb_correct</t>
    <phoneticPr fontId="2" type="noConversion"/>
  </si>
  <si>
    <t>val</t>
    <phoneticPr fontId="2" type="noConversion"/>
  </si>
  <si>
    <t>[575.8284250802727, 960.6820927348002, 652.3438424894772, 653.3557661664488]</t>
    <phoneticPr fontId="2" type="noConversion"/>
  </si>
  <si>
    <t>[-1e+100, -1e+100, -1e+100, -1e+100, -1e+100, 575.82842516878, 635.281689182434, 635.281689182434, 635.281689182434, 636.5250716520387, 636.5250716520387, 636.5250716520387, 636.5250716520387, 640.7000920853236, 640.7000920853236, 644.3201894318003, 644.3201894318003, 648.6023226029587, 648.6023226029587, 648.6023226029587, 651.7056807365598, 651.7056807365598, 654.3368757578546]</t>
    <phoneticPr fontId="2" type="noConversion"/>
  </si>
  <si>
    <t>[1384.2369411366262, 1384.2369411366262, 1384.2369411366262, 1384.2369412755243, 1384.2369412755243, 1384.2369412755243]</t>
    <phoneticPr fontId="2" type="noConversion"/>
  </si>
  <si>
    <t>[1384.2369411366262, 1444.7398163792366, 1384.2369412755231]</t>
    <phoneticPr fontId="2" type="noConversion"/>
  </si>
  <si>
    <t>[-1e+100, -1e+100, -1e+100, -1e+100, -1e+100, 1384.2369412755318, 1443.6955169110538, 1443.6955169110538, 1443.6955169110538, 1445.1525456250256, 1445.1525456250256, 1450.6545163329836]</t>
    <phoneticPr fontId="2" type="noConversion"/>
  </si>
  <si>
    <t>[1712.1611902727855, 1712.1611902727855, 1712.1611902727855, 1712.1611902727855, 1712.1611904287674, 1712.1611904287674, 1712.1611904287674]</t>
    <phoneticPr fontId="2" type="noConversion"/>
  </si>
  <si>
    <t>[1712.1611902727855, 1772.6640655324652, 1774.563008774611]</t>
    <phoneticPr fontId="2" type="noConversion"/>
  </si>
  <si>
    <t>[-1e+100, -1e+100, -1e+100, -1e+100, -1e+100, 1712.161190428771, 1771.6348177991083, 1771.6348177991083, 1771.6348177991083, 1772.9745170241672, 1772.9745170241672, 1781.5689010539766, 1781.5689010539766, 1781.5689010539766, 1789.5446621814278]</t>
    <phoneticPr fontId="2" type="noConversion"/>
  </si>
  <si>
    <t>[776.3296361665602, 776.3296361665602, 1161.1833038376149, 1161.1833038376149, 1161.1833038376149]</t>
    <phoneticPr fontId="2" type="noConversion"/>
  </si>
  <si>
    <t>[776.3296361665602, 1161.1833038376149, 860.770386438389, 859.3138259624242]</t>
    <phoneticPr fontId="2" type="noConversion"/>
  </si>
  <si>
    <t>[-1e+100, -1e+100, -1e+100, -1e+100, -1e+100, 776.3296362715877, 835.7756511507341, 835.7756511507341, 835.7756511507341, 836.8772287324165, 836.8772287324165, 836.8772287324165, 836.8772287324165, 838.3100566865028, 850.596248387301]</t>
    <phoneticPr fontId="2" type="noConversion"/>
  </si>
  <si>
    <t>[1250.1947716182299, 1250.1947716182299, 1250.1947716182299, 1250.1947716182299, 1250.1947717662124, 1250.1947717662124, 1250.1947717662124]</t>
    <phoneticPr fontId="2" type="noConversion"/>
  </si>
  <si>
    <t>[1250.1947716182299, 1310.4433166638319, 1323.7770088176032, 1318.9532584217095]</t>
    <phoneticPr fontId="2" type="noConversion"/>
  </si>
  <si>
    <t>[-1e+100, -1e+100, -1e+100, -1e+100, -1e+100, 1250.194771766223, 1309.6460222800727, 1309.6460222800727, 1309.6460222800727, 1311.166491660041, 1311.166491660041, 1314.4093188137945, 1325.2101421340683, 1325.2101421340683, 1325.2101421340683]</t>
    <phoneticPr fontId="2" type="noConversion"/>
  </si>
  <si>
    <t>[898.3611296831483, 898.3611296831483, 898.3611296831483, 898.3611296831483, 962.5149762976704, 962.5149762976704, 962.5149762976704]</t>
    <phoneticPr fontId="2" type="noConversion"/>
  </si>
  <si>
    <t>[898.3611296831483, 957.9923936177818, 960.6693413039658, 898.3611298023903]</t>
    <phoneticPr fontId="2" type="noConversion"/>
  </si>
  <si>
    <t>[-1e+100, -1e+100, -1e+100, -1e+100, -1e+100, 898.3611298023994, 957.7977697539008, 957.7980943275662, 957.7980943275662, 957.7980943275662, 957.7980943275662, 960.5648592814424, 965.6346662883997, 971.6272056589036]</t>
    <phoneticPr fontId="2" type="noConversion"/>
  </si>
  <si>
    <t>lb_correct: Use a reasonable LB that is smaller than UB from the record</t>
    <phoneticPr fontId="2" type="noConversion"/>
  </si>
  <si>
    <t>gap_cal: (final_ub-lb_correct)/final_ub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</si>
</sst>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6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1"/>
      <color rgb="FFFF0000"/>
      <name val="宋体"/>
      <family val="2"/>
      <scheme val="minor"/>
    </font>
    <font>
      <sz val="11"/>
      <color rgb="FFFF0000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5" fillId="3" borderId="0" xfId="0" applyFont="1" applyFill="1"/>
    <xf numFmtId="0" fontId="4" fillId="3" borderId="0" xfId="0" applyFont="1" applyFill="1"/>
    <xf numFmtId="0" fontId="3" fillId="2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  <xf numFmtId="0" fontId="0" fillId="0" borderId="0" xfId="0" applyFill="1"/>
    <xf numFmtId="0" fontId="5" fillId="0" borderId="0" xfId="0" applyFont="1" applyFill="1"/>
    <xf numFmtId="0" fontId="4" fillId="0" borderId="0" xfId="0" applyFont="1" applyFill="1"/>
    <xf numFmtId="176" fontId="3" fillId="0" borderId="1" xfId="0" applyNumberFormat="1" applyFont="1" applyFill="1" applyBorder="1" applyAlignment="1">
      <alignment horizontal="center" vertical="top"/>
    </xf>
    <xf numFmtId="176" fontId="1" fillId="0" borderId="1" xfId="0" applyNumberFormat="1" applyFont="1" applyFill="1" applyBorder="1" applyAlignment="1">
      <alignment horizontal="center" vertical="top"/>
    </xf>
    <xf numFmtId="176" fontId="0" fillId="0" borderId="0" xfId="0" applyNumberFormat="1" applyFill="1"/>
    <xf numFmtId="176" fontId="0" fillId="0" borderId="0" xfId="0" applyNumberFormat="1"/>
    <xf numFmtId="10" fontId="1" fillId="0" borderId="1" xfId="0" applyNumberFormat="1" applyFont="1" applyFill="1" applyBorder="1" applyAlignment="1">
      <alignment horizontal="center" vertical="top"/>
    </xf>
    <xf numFmtId="10" fontId="0" fillId="0" borderId="0" xfId="0" applyNumberFormat="1" applyFill="1"/>
    <xf numFmtId="10" fontId="0" fillId="0" borderId="0" xfId="0" applyNumberFormat="1"/>
    <xf numFmtId="10" fontId="3" fillId="0" borderId="1" xfId="0" applyNumberFormat="1" applyFont="1" applyFill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9"/>
  <sheetViews>
    <sheetView topLeftCell="J1" workbookViewId="0">
      <selection activeCell="A13" sqref="A1:AQ19"/>
    </sheetView>
  </sheetViews>
  <sheetFormatPr defaultRowHeight="13.5" x14ac:dyDescent="0.15"/>
  <cols>
    <col min="1" max="1" width="63.75" bestFit="1" customWidth="1"/>
    <col min="3" max="3" width="12.75" bestFit="1" customWidth="1"/>
  </cols>
  <sheetData>
    <row r="1" spans="1:4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x14ac:dyDescent="0.15">
      <c r="A2" t="s">
        <v>43</v>
      </c>
      <c r="B2" t="s">
        <v>44</v>
      </c>
      <c r="C2" t="s">
        <v>45</v>
      </c>
      <c r="D2" t="b">
        <v>0</v>
      </c>
      <c r="E2" t="s">
        <v>46</v>
      </c>
      <c r="F2" t="b">
        <v>0</v>
      </c>
      <c r="G2" t="s">
        <v>47</v>
      </c>
      <c r="H2" t="b">
        <v>0</v>
      </c>
      <c r="I2" t="s">
        <v>48</v>
      </c>
      <c r="J2" t="b">
        <v>0</v>
      </c>
      <c r="K2">
        <v>5.8334519863128662</v>
      </c>
      <c r="L2">
        <v>0.37046504020690918</v>
      </c>
      <c r="M2">
        <v>74.101501703262329</v>
      </c>
      <c r="N2">
        <v>3.98E-3</v>
      </c>
      <c r="O2">
        <v>0.13814000000000001</v>
      </c>
      <c r="P2">
        <v>1</v>
      </c>
      <c r="Q2">
        <v>1</v>
      </c>
      <c r="R2">
        <v>1</v>
      </c>
      <c r="S2" t="s">
        <v>49</v>
      </c>
      <c r="T2">
        <v>5390.2124798297882</v>
      </c>
      <c r="U2" t="s">
        <v>50</v>
      </c>
      <c r="V2">
        <v>3488.6024398803711</v>
      </c>
      <c r="W2" t="s">
        <v>51</v>
      </c>
      <c r="X2">
        <v>118.9671106338501</v>
      </c>
      <c r="Y2" t="s">
        <v>52</v>
      </c>
      <c r="Z2">
        <v>0.97280597686767578</v>
      </c>
      <c r="AA2" t="s">
        <v>53</v>
      </c>
      <c r="AB2">
        <v>51.905662775039673</v>
      </c>
      <c r="AC2" t="s">
        <v>54</v>
      </c>
      <c r="AD2">
        <v>48.890751123428338</v>
      </c>
      <c r="AE2" t="s">
        <v>55</v>
      </c>
      <c r="AF2">
        <v>0</v>
      </c>
      <c r="AG2" t="s">
        <v>56</v>
      </c>
      <c r="AH2" t="s">
        <v>57</v>
      </c>
      <c r="AI2">
        <v>659.42835371532806</v>
      </c>
      <c r="AJ2">
        <v>712.16542499561831</v>
      </c>
      <c r="AK2">
        <v>7.4051715273700913E-2</v>
      </c>
      <c r="AM2">
        <v>3607.5695505142212</v>
      </c>
      <c r="AO2" t="s">
        <v>58</v>
      </c>
      <c r="AP2">
        <v>1</v>
      </c>
      <c r="AQ2">
        <v>15030</v>
      </c>
    </row>
    <row r="3" spans="1:43" x14ac:dyDescent="0.15">
      <c r="A3" t="s">
        <v>43</v>
      </c>
      <c r="B3" t="s">
        <v>44</v>
      </c>
      <c r="C3" t="s">
        <v>59</v>
      </c>
      <c r="D3" t="b">
        <v>0</v>
      </c>
      <c r="E3" t="s">
        <v>46</v>
      </c>
      <c r="F3" t="b">
        <v>0</v>
      </c>
      <c r="G3" t="s">
        <v>47</v>
      </c>
      <c r="H3" t="b">
        <v>0</v>
      </c>
      <c r="I3" t="s">
        <v>48</v>
      </c>
      <c r="J3" t="b">
        <v>0</v>
      </c>
      <c r="K3">
        <v>5.8334519863128662</v>
      </c>
      <c r="L3">
        <v>0.36727309226989752</v>
      </c>
      <c r="M3">
        <v>74.965370416641235</v>
      </c>
      <c r="N3">
        <v>4.0400000000000002E-3</v>
      </c>
      <c r="O3">
        <v>0.1925</v>
      </c>
      <c r="P3">
        <v>1</v>
      </c>
      <c r="Q3">
        <v>1</v>
      </c>
      <c r="R3">
        <v>1</v>
      </c>
      <c r="S3" t="s">
        <v>60</v>
      </c>
      <c r="T3">
        <v>4285.4858195781708</v>
      </c>
      <c r="U3" t="s">
        <v>61</v>
      </c>
      <c r="V3">
        <v>3559.0290207862849</v>
      </c>
      <c r="W3" t="s">
        <v>62</v>
      </c>
      <c r="X3">
        <v>41.525558471679688</v>
      </c>
      <c r="Y3" t="s">
        <v>63</v>
      </c>
      <c r="Z3">
        <v>0.32295489311218262</v>
      </c>
      <c r="AA3" t="s">
        <v>64</v>
      </c>
      <c r="AB3">
        <v>19.519862651824951</v>
      </c>
      <c r="AC3" t="s">
        <v>65</v>
      </c>
      <c r="AD3">
        <v>5.1021575927734382E-5</v>
      </c>
      <c r="AE3" t="s">
        <v>66</v>
      </c>
      <c r="AF3">
        <v>0</v>
      </c>
      <c r="AG3" t="s">
        <v>67</v>
      </c>
      <c r="AH3" t="s">
        <v>68</v>
      </c>
      <c r="AI3">
        <v>960.68209273480022</v>
      </c>
      <c r="AJ3">
        <v>712.17174176169033</v>
      </c>
      <c r="AK3">
        <v>8.2586786508719534E-2</v>
      </c>
      <c r="AM3">
        <v>3600.5545792579651</v>
      </c>
      <c r="AN3">
        <v>5</v>
      </c>
      <c r="AO3" t="s">
        <v>69</v>
      </c>
      <c r="AP3">
        <v>1</v>
      </c>
      <c r="AQ3">
        <v>15030</v>
      </c>
    </row>
    <row r="4" spans="1:43" x14ac:dyDescent="0.15">
      <c r="A4" t="s">
        <v>43</v>
      </c>
      <c r="B4" t="s">
        <v>44</v>
      </c>
      <c r="C4" t="s">
        <v>70</v>
      </c>
      <c r="D4" t="b">
        <v>0</v>
      </c>
      <c r="E4" t="s">
        <v>46</v>
      </c>
      <c r="F4" t="b">
        <v>0</v>
      </c>
      <c r="G4" t="s">
        <v>47</v>
      </c>
      <c r="H4" t="b">
        <v>0</v>
      </c>
      <c r="I4" t="s">
        <v>48</v>
      </c>
      <c r="J4" t="b">
        <v>0</v>
      </c>
      <c r="K4">
        <v>5.8334519863128662</v>
      </c>
      <c r="L4">
        <v>0.25295829772949219</v>
      </c>
      <c r="M4">
        <v>73.064648866653442</v>
      </c>
      <c r="N4">
        <v>4.0600000000000002E-3</v>
      </c>
      <c r="O4">
        <v>0.37415999999999999</v>
      </c>
      <c r="P4">
        <v>1</v>
      </c>
      <c r="Q4">
        <v>1</v>
      </c>
      <c r="R4">
        <v>1</v>
      </c>
      <c r="S4" t="s">
        <v>71</v>
      </c>
      <c r="T4">
        <v>0</v>
      </c>
      <c r="U4" t="s">
        <v>71</v>
      </c>
      <c r="V4">
        <v>0</v>
      </c>
      <c r="W4" t="s">
        <v>72</v>
      </c>
      <c r="X4">
        <v>271.32918071746832</v>
      </c>
      <c r="Y4" t="s">
        <v>71</v>
      </c>
      <c r="Z4">
        <v>0</v>
      </c>
      <c r="AA4" t="s">
        <v>73</v>
      </c>
      <c r="AB4">
        <v>122.2032814025879</v>
      </c>
      <c r="AC4" t="s">
        <v>71</v>
      </c>
      <c r="AD4">
        <v>0</v>
      </c>
      <c r="AE4" t="s">
        <v>74</v>
      </c>
      <c r="AF4">
        <v>0</v>
      </c>
      <c r="AG4" t="s">
        <v>75</v>
      </c>
      <c r="AH4" t="s">
        <v>76</v>
      </c>
      <c r="AI4">
        <v>654.33687575785461</v>
      </c>
      <c r="AJ4">
        <v>691.90596083459445</v>
      </c>
      <c r="AK4">
        <v>5.4297964178369088E-2</v>
      </c>
      <c r="AM4">
        <v>3659.465821743011</v>
      </c>
      <c r="AN4">
        <v>23</v>
      </c>
      <c r="AO4" t="s">
        <v>77</v>
      </c>
      <c r="AP4">
        <v>0</v>
      </c>
      <c r="AQ4">
        <v>15030</v>
      </c>
    </row>
    <row r="5" spans="1:43" x14ac:dyDescent="0.15">
      <c r="A5" t="s">
        <v>78</v>
      </c>
      <c r="B5" t="s">
        <v>79</v>
      </c>
      <c r="C5" t="s">
        <v>45</v>
      </c>
      <c r="D5" t="b">
        <v>0</v>
      </c>
      <c r="E5" t="s">
        <v>46</v>
      </c>
      <c r="F5" t="b">
        <v>0</v>
      </c>
      <c r="G5" t="s">
        <v>47</v>
      </c>
      <c r="H5" t="b">
        <v>0</v>
      </c>
      <c r="I5" t="s">
        <v>48</v>
      </c>
      <c r="J5" t="b">
        <v>0</v>
      </c>
      <c r="K5">
        <v>9.0805439949035645</v>
      </c>
      <c r="L5">
        <v>1.168818473815918</v>
      </c>
      <c r="M5">
        <v>228.551470041275</v>
      </c>
      <c r="N5">
        <v>3.9899999999999996E-3</v>
      </c>
      <c r="O5">
        <v>0.18387000000000001</v>
      </c>
      <c r="P5">
        <v>1</v>
      </c>
      <c r="Q5">
        <v>1</v>
      </c>
      <c r="R5">
        <v>1</v>
      </c>
      <c r="S5" t="s">
        <v>80</v>
      </c>
      <c r="T5">
        <v>7340.5228228569031</v>
      </c>
      <c r="U5" t="s">
        <v>81</v>
      </c>
      <c r="V5">
        <v>3419.8919322490692</v>
      </c>
      <c r="W5" t="s">
        <v>82</v>
      </c>
      <c r="X5">
        <v>190.19062256813049</v>
      </c>
      <c r="Y5" t="s">
        <v>83</v>
      </c>
      <c r="Z5">
        <v>2.3592510223388672</v>
      </c>
      <c r="AA5" t="s">
        <v>84</v>
      </c>
      <c r="AB5">
        <v>272.69413089752197</v>
      </c>
      <c r="AC5" t="s">
        <v>85</v>
      </c>
      <c r="AD5">
        <v>253.88455057144171</v>
      </c>
      <c r="AE5" t="s">
        <v>86</v>
      </c>
      <c r="AF5">
        <v>0</v>
      </c>
      <c r="AG5" t="s">
        <v>87</v>
      </c>
      <c r="AH5" t="s">
        <v>88</v>
      </c>
      <c r="AI5">
        <v>1384.236941275524</v>
      </c>
      <c r="AJ5">
        <v>1802.769225335506</v>
      </c>
      <c r="AK5">
        <v>0.23216076587937559</v>
      </c>
      <c r="AM5">
        <v>3610.0825548172002</v>
      </c>
      <c r="AO5" t="s">
        <v>89</v>
      </c>
      <c r="AP5">
        <v>1</v>
      </c>
      <c r="AQ5">
        <v>44800</v>
      </c>
    </row>
    <row r="6" spans="1:43" x14ac:dyDescent="0.15">
      <c r="A6" t="s">
        <v>78</v>
      </c>
      <c r="B6" t="s">
        <v>79</v>
      </c>
      <c r="C6" t="s">
        <v>59</v>
      </c>
      <c r="D6" t="b">
        <v>0</v>
      </c>
      <c r="E6" t="s">
        <v>46</v>
      </c>
      <c r="F6" t="b">
        <v>0</v>
      </c>
      <c r="G6" t="s">
        <v>47</v>
      </c>
      <c r="H6" t="b">
        <v>0</v>
      </c>
      <c r="I6" t="s">
        <v>48</v>
      </c>
      <c r="J6" t="b">
        <v>0</v>
      </c>
      <c r="K6">
        <v>9.0805439949035645</v>
      </c>
      <c r="L6">
        <v>1.1977946758270259</v>
      </c>
      <c r="M6">
        <v>218.32891654968259</v>
      </c>
      <c r="N6">
        <v>4.0099999999999997E-3</v>
      </c>
      <c r="O6">
        <v>1.12897</v>
      </c>
      <c r="P6">
        <v>1</v>
      </c>
      <c r="Q6">
        <v>1</v>
      </c>
      <c r="R6">
        <v>1</v>
      </c>
      <c r="S6" t="s">
        <v>90</v>
      </c>
      <c r="T6">
        <v>5653.438357591629</v>
      </c>
      <c r="U6" t="s">
        <v>91</v>
      </c>
      <c r="V6">
        <v>3515.286642074585</v>
      </c>
      <c r="W6" t="s">
        <v>92</v>
      </c>
      <c r="X6">
        <v>96.871814250946045</v>
      </c>
      <c r="Y6" t="s">
        <v>93</v>
      </c>
      <c r="Z6">
        <v>0.73551297187805176</v>
      </c>
      <c r="AA6" t="s">
        <v>94</v>
      </c>
      <c r="AB6">
        <v>141.77163743972781</v>
      </c>
      <c r="AC6" t="s">
        <v>95</v>
      </c>
      <c r="AD6">
        <v>2.4080276489257809E-5</v>
      </c>
      <c r="AE6" t="s">
        <v>96</v>
      </c>
      <c r="AF6">
        <v>0</v>
      </c>
      <c r="AG6" t="s">
        <v>97</v>
      </c>
      <c r="AH6" t="s">
        <v>98</v>
      </c>
      <c r="AI6">
        <v>1444.739816379237</v>
      </c>
      <c r="AJ6">
        <v>1685.3244543201031</v>
      </c>
      <c r="AK6">
        <v>0.17865255100938929</v>
      </c>
      <c r="AM6">
        <v>3612.158456325531</v>
      </c>
      <c r="AN6">
        <v>4</v>
      </c>
      <c r="AO6" t="s">
        <v>99</v>
      </c>
      <c r="AP6">
        <v>1</v>
      </c>
      <c r="AQ6">
        <v>44800</v>
      </c>
    </row>
    <row r="7" spans="1:43" x14ac:dyDescent="0.15">
      <c r="A7" t="s">
        <v>78</v>
      </c>
      <c r="B7" t="s">
        <v>79</v>
      </c>
      <c r="C7" t="s">
        <v>70</v>
      </c>
      <c r="D7" t="b">
        <v>0</v>
      </c>
      <c r="E7" t="s">
        <v>46</v>
      </c>
      <c r="F7" t="b">
        <v>0</v>
      </c>
      <c r="G7" t="s">
        <v>47</v>
      </c>
      <c r="H7" t="b">
        <v>0</v>
      </c>
      <c r="I7" t="s">
        <v>48</v>
      </c>
      <c r="J7" t="b">
        <v>0</v>
      </c>
      <c r="K7">
        <v>9.0805439949035645</v>
      </c>
      <c r="L7">
        <v>0.8845820426940918</v>
      </c>
      <c r="M7">
        <v>217.21228003501889</v>
      </c>
      <c r="N7">
        <v>4.0200000000000001E-3</v>
      </c>
      <c r="O7">
        <v>1.0070000000000001E-2</v>
      </c>
      <c r="P7">
        <v>1</v>
      </c>
      <c r="Q7">
        <v>1</v>
      </c>
      <c r="R7">
        <v>1</v>
      </c>
      <c r="S7" t="s">
        <v>71</v>
      </c>
      <c r="T7">
        <v>0</v>
      </c>
      <c r="U7" t="s">
        <v>71</v>
      </c>
      <c r="V7">
        <v>0</v>
      </c>
      <c r="W7" t="s">
        <v>100</v>
      </c>
      <c r="X7">
        <v>415.93159508705139</v>
      </c>
      <c r="Y7" t="s">
        <v>71</v>
      </c>
      <c r="Z7">
        <v>0</v>
      </c>
      <c r="AA7" t="s">
        <v>101</v>
      </c>
      <c r="AB7">
        <v>593.84329056739807</v>
      </c>
      <c r="AC7" t="s">
        <v>71</v>
      </c>
      <c r="AD7">
        <v>0</v>
      </c>
      <c r="AE7" t="s">
        <v>102</v>
      </c>
      <c r="AF7">
        <v>0</v>
      </c>
      <c r="AG7" t="s">
        <v>103</v>
      </c>
      <c r="AH7" t="s">
        <v>104</v>
      </c>
      <c r="AI7">
        <v>1450.654516332984</v>
      </c>
      <c r="AJ7">
        <v>1792.4510799782629</v>
      </c>
      <c r="AK7">
        <v>0.19068669012016651</v>
      </c>
      <c r="AM7">
        <v>3884.6900625228882</v>
      </c>
      <c r="AN7">
        <v>11</v>
      </c>
      <c r="AO7" t="s">
        <v>105</v>
      </c>
      <c r="AP7">
        <v>0</v>
      </c>
      <c r="AQ7">
        <v>44800</v>
      </c>
    </row>
    <row r="8" spans="1:43" x14ac:dyDescent="0.15">
      <c r="A8" t="s">
        <v>106</v>
      </c>
      <c r="B8" t="s">
        <v>107</v>
      </c>
      <c r="C8" t="s">
        <v>45</v>
      </c>
      <c r="D8" t="b">
        <v>0</v>
      </c>
      <c r="E8" t="s">
        <v>46</v>
      </c>
      <c r="F8" t="b">
        <v>0</v>
      </c>
      <c r="G8" t="s">
        <v>47</v>
      </c>
      <c r="H8" t="b">
        <v>0</v>
      </c>
      <c r="I8" t="s">
        <v>48</v>
      </c>
      <c r="J8" t="b">
        <v>0</v>
      </c>
      <c r="K8">
        <v>5.783289909362793</v>
      </c>
      <c r="L8">
        <v>0.75932550430297852</v>
      </c>
      <c r="M8">
        <v>158.49789381027219</v>
      </c>
      <c r="N8">
        <v>4.0600000000000002E-3</v>
      </c>
      <c r="O8">
        <v>5.31677</v>
      </c>
      <c r="P8">
        <v>1</v>
      </c>
      <c r="Q8">
        <v>1</v>
      </c>
      <c r="R8">
        <v>1</v>
      </c>
      <c r="S8" t="s">
        <v>108</v>
      </c>
      <c r="T8">
        <v>6320.4469752311707</v>
      </c>
      <c r="U8" t="s">
        <v>109</v>
      </c>
      <c r="V8">
        <v>3454.1681482791901</v>
      </c>
      <c r="W8" t="s">
        <v>110</v>
      </c>
      <c r="X8">
        <v>149.82373118400571</v>
      </c>
      <c r="Y8" t="s">
        <v>111</v>
      </c>
      <c r="Z8">
        <v>1.5510656833648679</v>
      </c>
      <c r="AA8" t="s">
        <v>112</v>
      </c>
      <c r="AB8">
        <v>150.91232085227969</v>
      </c>
      <c r="AC8" t="s">
        <v>113</v>
      </c>
      <c r="AD8">
        <v>180.1959578990936</v>
      </c>
      <c r="AE8" t="s">
        <v>114</v>
      </c>
      <c r="AF8">
        <v>0</v>
      </c>
      <c r="AG8" t="s">
        <v>115</v>
      </c>
      <c r="AH8" t="s">
        <v>116</v>
      </c>
      <c r="AI8">
        <v>1712.161190428767</v>
      </c>
      <c r="AJ8">
        <v>2079.9907349183809</v>
      </c>
      <c r="AK8">
        <v>0.17684191487625961</v>
      </c>
      <c r="AM8">
        <v>3603.9918794631958</v>
      </c>
      <c r="AO8" t="s">
        <v>117</v>
      </c>
      <c r="AP8">
        <v>1</v>
      </c>
      <c r="AQ8">
        <v>30300</v>
      </c>
    </row>
    <row r="9" spans="1:43" x14ac:dyDescent="0.15">
      <c r="A9" t="s">
        <v>106</v>
      </c>
      <c r="B9" t="s">
        <v>107</v>
      </c>
      <c r="C9" t="s">
        <v>59</v>
      </c>
      <c r="D9" t="b">
        <v>0</v>
      </c>
      <c r="E9" t="s">
        <v>46</v>
      </c>
      <c r="F9" t="b">
        <v>0</v>
      </c>
      <c r="G9" t="s">
        <v>47</v>
      </c>
      <c r="H9" t="b">
        <v>0</v>
      </c>
      <c r="I9" t="s">
        <v>48</v>
      </c>
      <c r="J9" t="b">
        <v>0</v>
      </c>
      <c r="K9">
        <v>5.783289909362793</v>
      </c>
      <c r="L9">
        <v>0.80102801322937012</v>
      </c>
      <c r="M9">
        <v>158.54959416389471</v>
      </c>
      <c r="N9">
        <v>4.1099999999999999E-3</v>
      </c>
      <c r="O9">
        <v>0.37480000000000002</v>
      </c>
      <c r="P9">
        <v>1</v>
      </c>
      <c r="Q9">
        <v>1</v>
      </c>
      <c r="R9">
        <v>1</v>
      </c>
      <c r="S9" t="s">
        <v>118</v>
      </c>
      <c r="T9">
        <v>4876.3812289237976</v>
      </c>
      <c r="U9" t="s">
        <v>119</v>
      </c>
      <c r="V9">
        <v>3535.414363622665</v>
      </c>
      <c r="W9" t="s">
        <v>120</v>
      </c>
      <c r="X9">
        <v>66.09859037399292</v>
      </c>
      <c r="Y9" t="s">
        <v>121</v>
      </c>
      <c r="Z9">
        <v>0.53200197219848633</v>
      </c>
      <c r="AA9" t="s">
        <v>122</v>
      </c>
      <c r="AB9">
        <v>62.275960206985467</v>
      </c>
      <c r="AC9" t="s">
        <v>123</v>
      </c>
      <c r="AD9">
        <v>2.7894973754882809E-5</v>
      </c>
      <c r="AE9" t="s">
        <v>96</v>
      </c>
      <c r="AF9">
        <v>0</v>
      </c>
      <c r="AG9" t="s">
        <v>124</v>
      </c>
      <c r="AH9" t="s">
        <v>125</v>
      </c>
      <c r="AI9">
        <v>1774.563008774611</v>
      </c>
      <c r="AJ9">
        <v>2039.1417640042021</v>
      </c>
      <c r="AK9">
        <v>0.12975005460569239</v>
      </c>
      <c r="AM9">
        <v>3601.5129539966579</v>
      </c>
      <c r="AN9">
        <v>4</v>
      </c>
      <c r="AO9" t="s">
        <v>126</v>
      </c>
      <c r="AP9">
        <v>1</v>
      </c>
      <c r="AQ9">
        <v>30300</v>
      </c>
    </row>
    <row r="10" spans="1:43" x14ac:dyDescent="0.15">
      <c r="A10" t="s">
        <v>106</v>
      </c>
      <c r="B10" t="s">
        <v>107</v>
      </c>
      <c r="C10" t="s">
        <v>70</v>
      </c>
      <c r="D10" t="b">
        <v>0</v>
      </c>
      <c r="E10" t="s">
        <v>46</v>
      </c>
      <c r="F10" t="b">
        <v>0</v>
      </c>
      <c r="G10" t="s">
        <v>47</v>
      </c>
      <c r="H10" t="b">
        <v>0</v>
      </c>
      <c r="I10" t="s">
        <v>48</v>
      </c>
      <c r="J10" t="b">
        <v>0</v>
      </c>
      <c r="K10">
        <v>5.783289909362793</v>
      </c>
      <c r="L10">
        <v>0.77289485931396484</v>
      </c>
      <c r="M10">
        <v>162.6718921661377</v>
      </c>
      <c r="N10">
        <v>4.1900000000000001E-3</v>
      </c>
      <c r="O10">
        <v>0.36358000000000001</v>
      </c>
      <c r="P10">
        <v>1</v>
      </c>
      <c r="Q10">
        <v>1</v>
      </c>
      <c r="R10">
        <v>1</v>
      </c>
      <c r="S10" t="s">
        <v>71</v>
      </c>
      <c r="T10">
        <v>0</v>
      </c>
      <c r="U10" t="s">
        <v>71</v>
      </c>
      <c r="V10">
        <v>0</v>
      </c>
      <c r="W10" t="s">
        <v>127</v>
      </c>
      <c r="X10">
        <v>390.72796201705933</v>
      </c>
      <c r="Y10" t="s">
        <v>71</v>
      </c>
      <c r="Z10">
        <v>0</v>
      </c>
      <c r="AA10" t="s">
        <v>128</v>
      </c>
      <c r="AB10">
        <v>360.29098224639893</v>
      </c>
      <c r="AC10" t="s">
        <v>71</v>
      </c>
      <c r="AD10">
        <v>0</v>
      </c>
      <c r="AE10" t="s">
        <v>129</v>
      </c>
      <c r="AF10">
        <v>0</v>
      </c>
      <c r="AG10" t="s">
        <v>130</v>
      </c>
      <c r="AH10" t="s">
        <v>131</v>
      </c>
      <c r="AI10">
        <v>1789.5446621814281</v>
      </c>
      <c r="AJ10">
        <v>1964.7221135582031</v>
      </c>
      <c r="AK10">
        <v>8.9161439252408548E-2</v>
      </c>
      <c r="AM10">
        <v>4538.9963824748993</v>
      </c>
      <c r="AN10">
        <v>15</v>
      </c>
      <c r="AO10" t="s">
        <v>132</v>
      </c>
      <c r="AP10">
        <v>0</v>
      </c>
      <c r="AQ10">
        <v>30300</v>
      </c>
    </row>
    <row r="11" spans="1:43" x14ac:dyDescent="0.15">
      <c r="A11" t="s">
        <v>133</v>
      </c>
      <c r="B11" t="s">
        <v>134</v>
      </c>
      <c r="C11" t="s">
        <v>45</v>
      </c>
      <c r="D11" t="b">
        <v>0</v>
      </c>
      <c r="E11" t="s">
        <v>46</v>
      </c>
      <c r="F11" t="b">
        <v>0</v>
      </c>
      <c r="G11" t="s">
        <v>47</v>
      </c>
      <c r="H11" t="b">
        <v>0</v>
      </c>
      <c r="I11" t="s">
        <v>48</v>
      </c>
      <c r="J11" t="b">
        <v>0</v>
      </c>
      <c r="K11">
        <v>8.7590394020080566</v>
      </c>
      <c r="L11">
        <v>0.57406449317932129</v>
      </c>
      <c r="M11">
        <v>140.64473295211789</v>
      </c>
      <c r="N11">
        <v>4.0299999999999997E-3</v>
      </c>
      <c r="O11">
        <v>1.6160000000000001E-2</v>
      </c>
      <c r="P11">
        <v>1</v>
      </c>
      <c r="Q11">
        <v>1</v>
      </c>
      <c r="R11">
        <v>1</v>
      </c>
      <c r="S11" t="s">
        <v>135</v>
      </c>
      <c r="T11">
        <v>3196.1928720474239</v>
      </c>
      <c r="U11" t="s">
        <v>136</v>
      </c>
      <c r="V11">
        <v>1118.1676752567289</v>
      </c>
      <c r="W11" t="s">
        <v>137</v>
      </c>
      <c r="X11">
        <v>117.80703639984129</v>
      </c>
      <c r="Y11" t="s">
        <v>138</v>
      </c>
      <c r="Z11">
        <v>0.8739769458770752</v>
      </c>
      <c r="AA11" t="s">
        <v>139</v>
      </c>
      <c r="AB11">
        <v>109.5620036125183</v>
      </c>
      <c r="AC11" t="s">
        <v>140</v>
      </c>
      <c r="AD11">
        <v>109.1526012420654</v>
      </c>
      <c r="AE11" t="s">
        <v>141</v>
      </c>
      <c r="AF11">
        <v>0</v>
      </c>
      <c r="AG11" t="s">
        <v>142</v>
      </c>
      <c r="AH11" t="s">
        <v>143</v>
      </c>
      <c r="AI11">
        <v>1161.1833038376151</v>
      </c>
      <c r="AJ11">
        <v>979.44045796295495</v>
      </c>
      <c r="AK11">
        <v>-0.18555782987645211</v>
      </c>
      <c r="AM11">
        <v>1235.97471165657</v>
      </c>
      <c r="AO11" t="s">
        <v>144</v>
      </c>
      <c r="AP11">
        <v>1</v>
      </c>
      <c r="AQ11">
        <v>30050</v>
      </c>
    </row>
    <row r="12" spans="1:43" x14ac:dyDescent="0.15">
      <c r="A12" t="s">
        <v>133</v>
      </c>
      <c r="B12" t="s">
        <v>134</v>
      </c>
      <c r="C12" t="s">
        <v>59</v>
      </c>
      <c r="D12" t="b">
        <v>0</v>
      </c>
      <c r="E12" t="s">
        <v>46</v>
      </c>
      <c r="F12" t="b">
        <v>0</v>
      </c>
      <c r="G12" t="s">
        <v>47</v>
      </c>
      <c r="H12" t="b">
        <v>0</v>
      </c>
      <c r="I12" t="s">
        <v>48</v>
      </c>
      <c r="J12" t="b">
        <v>0</v>
      </c>
      <c r="K12">
        <v>8.7590394020080566</v>
      </c>
      <c r="L12">
        <v>0.70494937896728516</v>
      </c>
      <c r="M12">
        <v>150.09552073478699</v>
      </c>
      <c r="N12">
        <v>4.1000000000000003E-3</v>
      </c>
      <c r="O12">
        <v>0.63080999999999998</v>
      </c>
      <c r="P12">
        <v>1</v>
      </c>
      <c r="Q12">
        <v>1</v>
      </c>
      <c r="R12">
        <v>1</v>
      </c>
      <c r="S12" t="s">
        <v>145</v>
      </c>
      <c r="T12">
        <v>5099.3143877983093</v>
      </c>
      <c r="U12" t="s">
        <v>146</v>
      </c>
      <c r="V12">
        <v>3519.4842882156372</v>
      </c>
      <c r="W12" t="s">
        <v>147</v>
      </c>
      <c r="X12">
        <v>82.851680040359497</v>
      </c>
      <c r="Y12" t="s">
        <v>148</v>
      </c>
      <c r="Z12">
        <v>0.79593563079833984</v>
      </c>
      <c r="AA12" t="s">
        <v>149</v>
      </c>
      <c r="AB12">
        <v>83.931724309921265</v>
      </c>
      <c r="AC12" t="s">
        <v>150</v>
      </c>
      <c r="AD12">
        <v>3.3617019653320313E-5</v>
      </c>
      <c r="AE12" t="s">
        <v>66</v>
      </c>
      <c r="AF12">
        <v>0</v>
      </c>
      <c r="AG12" t="s">
        <v>151</v>
      </c>
      <c r="AH12" t="s">
        <v>152</v>
      </c>
      <c r="AI12">
        <v>1161.1833038376151</v>
      </c>
      <c r="AJ12">
        <v>946.87337926586406</v>
      </c>
      <c r="AK12">
        <v>9.2472293782725618E-2</v>
      </c>
      <c r="AM12">
        <v>3602.3359682559972</v>
      </c>
      <c r="AN12">
        <v>5</v>
      </c>
      <c r="AO12" t="s">
        <v>153</v>
      </c>
      <c r="AP12">
        <v>1</v>
      </c>
      <c r="AQ12">
        <v>30050</v>
      </c>
    </row>
    <row r="13" spans="1:43" x14ac:dyDescent="0.15">
      <c r="A13" t="s">
        <v>133</v>
      </c>
      <c r="B13" t="s">
        <v>134</v>
      </c>
      <c r="C13" t="s">
        <v>70</v>
      </c>
      <c r="D13" t="b">
        <v>0</v>
      </c>
      <c r="E13" t="s">
        <v>46</v>
      </c>
      <c r="F13" t="b">
        <v>0</v>
      </c>
      <c r="G13" t="s">
        <v>47</v>
      </c>
      <c r="H13" t="b">
        <v>0</v>
      </c>
      <c r="I13" t="s">
        <v>48</v>
      </c>
      <c r="J13" t="b">
        <v>0</v>
      </c>
      <c r="K13">
        <v>8.7590394020080566</v>
      </c>
      <c r="L13">
        <v>0.66357707977294922</v>
      </c>
      <c r="M13">
        <v>150.0708327293396</v>
      </c>
      <c r="N13">
        <v>4.0400000000000002E-3</v>
      </c>
      <c r="O13">
        <v>0.39800000000000002</v>
      </c>
      <c r="P13">
        <v>1</v>
      </c>
      <c r="Q13">
        <v>1</v>
      </c>
      <c r="R13">
        <v>1</v>
      </c>
      <c r="S13" t="s">
        <v>71</v>
      </c>
      <c r="T13">
        <v>0</v>
      </c>
      <c r="U13" t="s">
        <v>71</v>
      </c>
      <c r="V13">
        <v>0</v>
      </c>
      <c r="W13" t="s">
        <v>154</v>
      </c>
      <c r="X13">
        <v>369.13426828384399</v>
      </c>
      <c r="Y13" t="s">
        <v>71</v>
      </c>
      <c r="Z13">
        <v>0</v>
      </c>
      <c r="AA13" t="s">
        <v>155</v>
      </c>
      <c r="AB13">
        <v>354.40067005157471</v>
      </c>
      <c r="AC13" t="s">
        <v>71</v>
      </c>
      <c r="AD13">
        <v>0</v>
      </c>
      <c r="AE13" t="s">
        <v>129</v>
      </c>
      <c r="AF13">
        <v>0</v>
      </c>
      <c r="AG13" t="s">
        <v>156</v>
      </c>
      <c r="AH13" t="s">
        <v>157</v>
      </c>
      <c r="AI13">
        <v>850.59624838730099</v>
      </c>
      <c r="AJ13">
        <v>943.75147719309575</v>
      </c>
      <c r="AK13">
        <v>9.870737270988951E-2</v>
      </c>
      <c r="AM13">
        <v>5423.9154515266418</v>
      </c>
      <c r="AN13">
        <v>15</v>
      </c>
      <c r="AO13" t="s">
        <v>158</v>
      </c>
      <c r="AP13">
        <v>0</v>
      </c>
      <c r="AQ13">
        <v>30050</v>
      </c>
    </row>
    <row r="14" spans="1:43" x14ac:dyDescent="0.15">
      <c r="A14" t="s">
        <v>159</v>
      </c>
      <c r="B14" t="s">
        <v>160</v>
      </c>
      <c r="C14" t="s">
        <v>45</v>
      </c>
      <c r="D14" t="b">
        <v>0</v>
      </c>
      <c r="E14" t="s">
        <v>46</v>
      </c>
      <c r="F14" t="b">
        <v>0</v>
      </c>
      <c r="G14" t="s">
        <v>47</v>
      </c>
      <c r="H14" t="b">
        <v>0</v>
      </c>
      <c r="I14" t="s">
        <v>48</v>
      </c>
      <c r="J14" t="b">
        <v>0</v>
      </c>
      <c r="K14">
        <v>5.8432960510253906</v>
      </c>
      <c r="L14">
        <v>0.65252375602722168</v>
      </c>
      <c r="M14">
        <v>141.12478375434881</v>
      </c>
      <c r="N14">
        <v>4.0699999999999998E-3</v>
      </c>
      <c r="O14">
        <v>9.7143499999999996</v>
      </c>
      <c r="P14">
        <v>1</v>
      </c>
      <c r="Q14">
        <v>1</v>
      </c>
      <c r="R14">
        <v>1</v>
      </c>
      <c r="S14" t="s">
        <v>161</v>
      </c>
      <c r="T14">
        <v>5981.7429416179657</v>
      </c>
      <c r="U14" t="s">
        <v>162</v>
      </c>
      <c r="V14">
        <v>3475.4735472202301</v>
      </c>
      <c r="W14" t="s">
        <v>163</v>
      </c>
      <c r="X14">
        <v>135.84960126876831</v>
      </c>
      <c r="Y14" t="s">
        <v>164</v>
      </c>
      <c r="Z14">
        <v>1.408703565597534</v>
      </c>
      <c r="AA14" t="s">
        <v>165</v>
      </c>
      <c r="AB14">
        <v>121.1644010543823</v>
      </c>
      <c r="AC14" t="s">
        <v>166</v>
      </c>
      <c r="AD14">
        <v>122.858229637146</v>
      </c>
      <c r="AE14" t="s">
        <v>114</v>
      </c>
      <c r="AF14">
        <v>0</v>
      </c>
      <c r="AG14" t="s">
        <v>167</v>
      </c>
      <c r="AH14" t="s">
        <v>168</v>
      </c>
      <c r="AI14">
        <v>1250.1947717662119</v>
      </c>
      <c r="AJ14">
        <v>1524.745437830753</v>
      </c>
      <c r="AK14">
        <v>0.1800632808931972</v>
      </c>
      <c r="AM14">
        <v>3611.323148488998</v>
      </c>
      <c r="AO14" t="s">
        <v>169</v>
      </c>
      <c r="AP14">
        <v>1</v>
      </c>
      <c r="AQ14">
        <v>26850</v>
      </c>
    </row>
    <row r="15" spans="1:43" x14ac:dyDescent="0.15">
      <c r="A15" t="s">
        <v>159</v>
      </c>
      <c r="B15" t="s">
        <v>160</v>
      </c>
      <c r="C15" t="s">
        <v>59</v>
      </c>
      <c r="D15" t="b">
        <v>0</v>
      </c>
      <c r="E15" t="s">
        <v>46</v>
      </c>
      <c r="F15" t="b">
        <v>0</v>
      </c>
      <c r="G15" t="s">
        <v>47</v>
      </c>
      <c r="H15" t="b">
        <v>0</v>
      </c>
      <c r="I15" t="s">
        <v>48</v>
      </c>
      <c r="J15" t="b">
        <v>0</v>
      </c>
      <c r="K15">
        <v>5.8432960510253906</v>
      </c>
      <c r="L15">
        <v>0.66072487831115723</v>
      </c>
      <c r="M15">
        <v>132.10666275024411</v>
      </c>
      <c r="N15">
        <v>4.0800000000000003E-3</v>
      </c>
      <c r="O15">
        <v>0.63007000000000002</v>
      </c>
      <c r="P15">
        <v>1</v>
      </c>
      <c r="Q15">
        <v>1</v>
      </c>
      <c r="R15">
        <v>1</v>
      </c>
      <c r="S15" t="s">
        <v>170</v>
      </c>
      <c r="T15">
        <v>5014.7031357288361</v>
      </c>
      <c r="U15" t="s">
        <v>171</v>
      </c>
      <c r="V15">
        <v>3525.6321682929988</v>
      </c>
      <c r="W15" t="s">
        <v>172</v>
      </c>
      <c r="X15">
        <v>78.197404861450195</v>
      </c>
      <c r="Y15" t="s">
        <v>173</v>
      </c>
      <c r="Z15">
        <v>0.77445006370544434</v>
      </c>
      <c r="AA15" t="s">
        <v>174</v>
      </c>
      <c r="AB15">
        <v>69.064270496368408</v>
      </c>
      <c r="AC15" t="s">
        <v>175</v>
      </c>
      <c r="AD15">
        <v>5.0067901611328118E-5</v>
      </c>
      <c r="AE15" t="s">
        <v>66</v>
      </c>
      <c r="AF15">
        <v>0</v>
      </c>
      <c r="AG15" t="s">
        <v>176</v>
      </c>
      <c r="AH15" t="s">
        <v>177</v>
      </c>
      <c r="AI15">
        <v>1323.777008817603</v>
      </c>
      <c r="AJ15">
        <v>1472.4278172750419</v>
      </c>
      <c r="AK15">
        <v>0.1042323141764048</v>
      </c>
      <c r="AM15">
        <v>3603.829573154449</v>
      </c>
      <c r="AN15">
        <v>5</v>
      </c>
      <c r="AO15" t="s">
        <v>178</v>
      </c>
      <c r="AP15">
        <v>1</v>
      </c>
      <c r="AQ15">
        <v>26850</v>
      </c>
    </row>
    <row r="16" spans="1:43" x14ac:dyDescent="0.15">
      <c r="A16" t="s">
        <v>159</v>
      </c>
      <c r="B16" t="s">
        <v>160</v>
      </c>
      <c r="C16" t="s">
        <v>70</v>
      </c>
      <c r="D16" t="b">
        <v>0</v>
      </c>
      <c r="E16" t="s">
        <v>46</v>
      </c>
      <c r="F16" t="b">
        <v>0</v>
      </c>
      <c r="G16" t="s">
        <v>47</v>
      </c>
      <c r="H16" t="b">
        <v>0</v>
      </c>
      <c r="I16" t="s">
        <v>48</v>
      </c>
      <c r="J16" t="b">
        <v>0</v>
      </c>
      <c r="K16">
        <v>5.8432960510253906</v>
      </c>
      <c r="L16">
        <v>0.68554067611694336</v>
      </c>
      <c r="M16">
        <v>134.3846364021301</v>
      </c>
      <c r="N16">
        <v>4.1200000000000004E-3</v>
      </c>
      <c r="O16">
        <v>0.68896999999999997</v>
      </c>
      <c r="P16">
        <v>1</v>
      </c>
      <c r="Q16">
        <v>1</v>
      </c>
      <c r="R16">
        <v>1</v>
      </c>
      <c r="S16" t="s">
        <v>71</v>
      </c>
      <c r="T16">
        <v>0</v>
      </c>
      <c r="U16" t="s">
        <v>71</v>
      </c>
      <c r="V16">
        <v>0</v>
      </c>
      <c r="W16" t="s">
        <v>179</v>
      </c>
      <c r="X16">
        <v>333.75437569618231</v>
      </c>
      <c r="Y16" t="s">
        <v>71</v>
      </c>
      <c r="Z16">
        <v>0</v>
      </c>
      <c r="AA16" t="s">
        <v>180</v>
      </c>
      <c r="AB16">
        <v>280.23439764976501</v>
      </c>
      <c r="AC16" t="s">
        <v>71</v>
      </c>
      <c r="AD16">
        <v>0</v>
      </c>
      <c r="AE16" t="s">
        <v>129</v>
      </c>
      <c r="AF16">
        <v>0</v>
      </c>
      <c r="AG16" t="s">
        <v>181</v>
      </c>
      <c r="AH16" t="s">
        <v>182</v>
      </c>
      <c r="AI16">
        <v>1325.2101421340681</v>
      </c>
      <c r="AJ16">
        <v>1458.1181839357521</v>
      </c>
      <c r="AK16">
        <v>9.1150390458767175E-2</v>
      </c>
      <c r="AM16">
        <v>5607.7138464450836</v>
      </c>
      <c r="AN16">
        <v>15</v>
      </c>
      <c r="AO16" t="s">
        <v>183</v>
      </c>
      <c r="AP16">
        <v>0</v>
      </c>
      <c r="AQ16">
        <v>26850</v>
      </c>
    </row>
    <row r="17" spans="1:43" x14ac:dyDescent="0.15">
      <c r="A17" t="s">
        <v>184</v>
      </c>
      <c r="B17" t="s">
        <v>185</v>
      </c>
      <c r="C17" t="s">
        <v>45</v>
      </c>
      <c r="D17" t="b">
        <v>0</v>
      </c>
      <c r="E17" t="s">
        <v>46</v>
      </c>
      <c r="F17" t="b">
        <v>0</v>
      </c>
      <c r="G17" t="s">
        <v>47</v>
      </c>
      <c r="H17" t="b">
        <v>0</v>
      </c>
      <c r="I17" t="s">
        <v>48</v>
      </c>
      <c r="J17" t="b">
        <v>0</v>
      </c>
      <c r="K17">
        <v>8.7396347522735596</v>
      </c>
      <c r="L17">
        <v>0.61545228958129883</v>
      </c>
      <c r="M17">
        <v>159.74807548522949</v>
      </c>
      <c r="N17">
        <v>4.0400000000000002E-3</v>
      </c>
      <c r="O17">
        <v>1.559E-2</v>
      </c>
      <c r="P17">
        <v>1</v>
      </c>
      <c r="Q17">
        <v>1</v>
      </c>
      <c r="R17">
        <v>1</v>
      </c>
      <c r="S17" t="s">
        <v>186</v>
      </c>
      <c r="T17">
        <v>6605.0594611167908</v>
      </c>
      <c r="U17" t="s">
        <v>187</v>
      </c>
      <c r="V17">
        <v>3451.2051720619202</v>
      </c>
      <c r="W17" t="s">
        <v>188</v>
      </c>
      <c r="X17">
        <v>165.37423324584961</v>
      </c>
      <c r="Y17" t="s">
        <v>189</v>
      </c>
      <c r="Z17">
        <v>1.510723352432251</v>
      </c>
      <c r="AA17" t="s">
        <v>190</v>
      </c>
      <c r="AB17">
        <v>189.91432881355291</v>
      </c>
      <c r="AC17" t="s">
        <v>191</v>
      </c>
      <c r="AD17">
        <v>142.09632992744449</v>
      </c>
      <c r="AE17" t="s">
        <v>114</v>
      </c>
      <c r="AF17">
        <v>0</v>
      </c>
      <c r="AG17" t="s">
        <v>192</v>
      </c>
      <c r="AH17" t="s">
        <v>193</v>
      </c>
      <c r="AI17">
        <v>962.51497629767039</v>
      </c>
      <c r="AJ17">
        <v>1088.409909908595</v>
      </c>
      <c r="AK17">
        <v>0.11566867635405891</v>
      </c>
      <c r="AM17">
        <v>3616.5794053077698</v>
      </c>
      <c r="AO17" t="s">
        <v>194</v>
      </c>
      <c r="AP17">
        <v>1</v>
      </c>
      <c r="AQ17">
        <v>33950</v>
      </c>
    </row>
    <row r="18" spans="1:43" x14ac:dyDescent="0.15">
      <c r="A18" t="s">
        <v>184</v>
      </c>
      <c r="B18" t="s">
        <v>185</v>
      </c>
      <c r="C18" t="s">
        <v>59</v>
      </c>
      <c r="D18" t="b">
        <v>0</v>
      </c>
      <c r="E18" t="s">
        <v>46</v>
      </c>
      <c r="F18" t="b">
        <v>0</v>
      </c>
      <c r="G18" t="s">
        <v>47</v>
      </c>
      <c r="H18" t="b">
        <v>0</v>
      </c>
      <c r="I18" t="s">
        <v>48</v>
      </c>
      <c r="J18" t="b">
        <v>0</v>
      </c>
      <c r="K18">
        <v>8.7396347522735596</v>
      </c>
      <c r="L18">
        <v>0.75783562660217285</v>
      </c>
      <c r="M18">
        <v>177.56079459190369</v>
      </c>
      <c r="N18">
        <v>4.1999999999999997E-3</v>
      </c>
      <c r="O18">
        <v>0.28266999999999998</v>
      </c>
      <c r="P18">
        <v>1</v>
      </c>
      <c r="Q18">
        <v>1</v>
      </c>
      <c r="R18">
        <v>1</v>
      </c>
      <c r="S18" t="s">
        <v>195</v>
      </c>
      <c r="T18">
        <v>5341.3997910022736</v>
      </c>
      <c r="U18" t="s">
        <v>196</v>
      </c>
      <c r="V18">
        <v>3514.93838763237</v>
      </c>
      <c r="W18" t="s">
        <v>197</v>
      </c>
      <c r="X18">
        <v>91.182586193084717</v>
      </c>
      <c r="Y18" t="s">
        <v>198</v>
      </c>
      <c r="Z18">
        <v>0.75925397872924805</v>
      </c>
      <c r="AA18" t="s">
        <v>199</v>
      </c>
      <c r="AB18">
        <v>107.2894566059113</v>
      </c>
      <c r="AC18" t="s">
        <v>200</v>
      </c>
      <c r="AD18">
        <v>3.0279159545898441E-5</v>
      </c>
      <c r="AE18" t="s">
        <v>66</v>
      </c>
      <c r="AF18">
        <v>0</v>
      </c>
      <c r="AG18" t="s">
        <v>201</v>
      </c>
      <c r="AH18" t="s">
        <v>202</v>
      </c>
      <c r="AI18">
        <v>960.66934130396578</v>
      </c>
      <c r="AJ18">
        <v>1100.707412016385</v>
      </c>
      <c r="AK18">
        <v>0.1838329423452128</v>
      </c>
      <c r="AM18">
        <v>3606.1209738254552</v>
      </c>
      <c r="AN18">
        <v>5</v>
      </c>
      <c r="AO18" t="s">
        <v>203</v>
      </c>
      <c r="AP18">
        <v>1</v>
      </c>
      <c r="AQ18">
        <v>33950</v>
      </c>
    </row>
    <row r="19" spans="1:43" x14ac:dyDescent="0.15">
      <c r="A19" t="s">
        <v>184</v>
      </c>
      <c r="B19" t="s">
        <v>185</v>
      </c>
      <c r="C19" t="s">
        <v>70</v>
      </c>
      <c r="D19" t="b">
        <v>0</v>
      </c>
      <c r="E19" t="s">
        <v>46</v>
      </c>
      <c r="F19" t="b">
        <v>0</v>
      </c>
      <c r="G19" t="s">
        <v>47</v>
      </c>
      <c r="H19" t="b">
        <v>0</v>
      </c>
      <c r="I19" t="s">
        <v>48</v>
      </c>
      <c r="J19" t="b">
        <v>0</v>
      </c>
      <c r="K19">
        <v>8.7396347522735596</v>
      </c>
      <c r="L19">
        <v>0.79939913749694824</v>
      </c>
      <c r="M19">
        <v>173.63898205757141</v>
      </c>
      <c r="N19">
        <v>4.0400000000000002E-3</v>
      </c>
      <c r="O19">
        <v>0.39057999999999998</v>
      </c>
      <c r="P19">
        <v>1</v>
      </c>
      <c r="Q19">
        <v>1</v>
      </c>
      <c r="R19">
        <v>1</v>
      </c>
      <c r="S19" t="s">
        <v>71</v>
      </c>
      <c r="T19">
        <v>0</v>
      </c>
      <c r="U19" t="s">
        <v>71</v>
      </c>
      <c r="V19">
        <v>0</v>
      </c>
      <c r="W19" t="s">
        <v>204</v>
      </c>
      <c r="X19">
        <v>363.70476841926569</v>
      </c>
      <c r="Y19" t="s">
        <v>71</v>
      </c>
      <c r="Z19">
        <v>0</v>
      </c>
      <c r="AA19" t="s">
        <v>205</v>
      </c>
      <c r="AB19">
        <v>389.73399114608759</v>
      </c>
      <c r="AC19" t="s">
        <v>71</v>
      </c>
      <c r="AD19">
        <v>0</v>
      </c>
      <c r="AE19" t="s">
        <v>206</v>
      </c>
      <c r="AF19">
        <v>0</v>
      </c>
      <c r="AG19" t="s">
        <v>207</v>
      </c>
      <c r="AH19" t="s">
        <v>208</v>
      </c>
      <c r="AI19">
        <v>971.62720565890356</v>
      </c>
      <c r="AJ19">
        <v>1087.853415324648</v>
      </c>
      <c r="AK19">
        <v>0.1068399547470196</v>
      </c>
      <c r="AM19">
        <v>5097.3871762752533</v>
      </c>
      <c r="AN19">
        <v>13</v>
      </c>
      <c r="AO19" t="s">
        <v>209</v>
      </c>
      <c r="AP19">
        <v>3</v>
      </c>
      <c r="AQ19">
        <v>33950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8148B-BE1C-4996-9409-25FA4788DFC2}">
  <dimension ref="A1:AH27"/>
  <sheetViews>
    <sheetView tabSelected="1" topLeftCell="V1" workbookViewId="0">
      <selection activeCell="AB9" sqref="AB9"/>
    </sheetView>
  </sheetViews>
  <sheetFormatPr defaultRowHeight="13.5" x14ac:dyDescent="0.15"/>
  <cols>
    <col min="1" max="1" width="63.75" bestFit="1" customWidth="1"/>
    <col min="2" max="2" width="29.5" bestFit="1" customWidth="1"/>
    <col min="3" max="4" width="12.75" bestFit="1" customWidth="1"/>
    <col min="5" max="5" width="12.75" customWidth="1"/>
    <col min="6" max="7" width="12.75" bestFit="1" customWidth="1"/>
    <col min="8" max="9" width="12.75" customWidth="1"/>
    <col min="10" max="10" width="9.625" bestFit="1" customWidth="1"/>
    <col min="11" max="11" width="19.5" bestFit="1" customWidth="1"/>
    <col min="28" max="28" width="255.625" style="6" bestFit="1" customWidth="1"/>
    <col min="29" max="29" width="6.5" style="6" bestFit="1" customWidth="1"/>
  </cols>
  <sheetData>
    <row r="1" spans="1:34" x14ac:dyDescent="0.15">
      <c r="A1" s="1" t="s">
        <v>0</v>
      </c>
      <c r="B1" s="1" t="s">
        <v>1</v>
      </c>
      <c r="C1" s="1" t="s">
        <v>2</v>
      </c>
      <c r="D1" s="2" t="s">
        <v>214</v>
      </c>
      <c r="E1" s="2" t="s">
        <v>215</v>
      </c>
      <c r="F1" s="1" t="s">
        <v>35</v>
      </c>
      <c r="G1" s="1" t="s">
        <v>36</v>
      </c>
      <c r="H1" s="2" t="s">
        <v>210</v>
      </c>
      <c r="I1" s="2" t="s">
        <v>211</v>
      </c>
      <c r="J1" s="1" t="s">
        <v>37</v>
      </c>
      <c r="K1" s="1" t="s">
        <v>38</v>
      </c>
      <c r="L1" s="1" t="s">
        <v>10</v>
      </c>
      <c r="M1" s="1" t="s">
        <v>11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31</v>
      </c>
      <c r="AB1" s="5" t="s">
        <v>32</v>
      </c>
      <c r="AC1" s="10" t="s">
        <v>216</v>
      </c>
      <c r="AD1" s="1" t="s">
        <v>33</v>
      </c>
      <c r="AE1" s="1" t="s">
        <v>39</v>
      </c>
      <c r="AF1" s="1" t="s">
        <v>40</v>
      </c>
      <c r="AG1" s="1" t="s">
        <v>41</v>
      </c>
      <c r="AH1" s="1" t="s">
        <v>42</v>
      </c>
    </row>
    <row r="2" spans="1:34" x14ac:dyDescent="0.15">
      <c r="A2" t="s">
        <v>43</v>
      </c>
      <c r="B2" t="s">
        <v>44</v>
      </c>
      <c r="C2" t="s">
        <v>45</v>
      </c>
      <c r="D2">
        <v>659.42835371532806</v>
      </c>
      <c r="E2" s="6">
        <v>659.42835371532794</v>
      </c>
      <c r="F2">
        <v>712.16542499561831</v>
      </c>
      <c r="G2">
        <v>7.4051715273700913E-2</v>
      </c>
      <c r="H2">
        <f>(F2-E2)/F2</f>
        <v>7.4051715274740887E-2</v>
      </c>
      <c r="I2">
        <f>ABS(G2-H2)</f>
        <v>1.0399736627419998E-12</v>
      </c>
      <c r="K2">
        <v>3607.5695505142212</v>
      </c>
      <c r="L2">
        <v>5.8334519863128662</v>
      </c>
      <c r="M2">
        <v>0.37046504020690918</v>
      </c>
      <c r="N2" t="s">
        <v>49</v>
      </c>
      <c r="O2">
        <v>5390.2124798297882</v>
      </c>
      <c r="P2" t="s">
        <v>50</v>
      </c>
      <c r="Q2">
        <v>3488.6024398803711</v>
      </c>
      <c r="R2" t="s">
        <v>51</v>
      </c>
      <c r="S2">
        <v>118.9671106338501</v>
      </c>
      <c r="T2" t="s">
        <v>52</v>
      </c>
      <c r="U2">
        <v>0.97280597686767578</v>
      </c>
      <c r="V2" t="s">
        <v>53</v>
      </c>
      <c r="W2">
        <v>51.905662775039673</v>
      </c>
      <c r="X2" t="s">
        <v>54</v>
      </c>
      <c r="Y2">
        <v>48.890751123428338</v>
      </c>
      <c r="Z2" t="s">
        <v>55</v>
      </c>
      <c r="AA2">
        <v>0</v>
      </c>
      <c r="AB2" s="6" t="s">
        <v>212</v>
      </c>
      <c r="AC2" s="6">
        <v>659.42835371532794</v>
      </c>
      <c r="AD2" t="s">
        <v>57</v>
      </c>
      <c r="AF2" t="s">
        <v>58</v>
      </c>
      <c r="AG2">
        <v>1</v>
      </c>
      <c r="AH2">
        <v>15030</v>
      </c>
    </row>
    <row r="3" spans="1:34" s="7" customFormat="1" x14ac:dyDescent="0.15">
      <c r="A3" s="7" t="s">
        <v>43</v>
      </c>
      <c r="B3" s="7" t="s">
        <v>44</v>
      </c>
      <c r="C3" s="8" t="s">
        <v>59</v>
      </c>
      <c r="D3" s="7">
        <v>960.68209273480022</v>
      </c>
      <c r="E3" s="7">
        <v>653.35576616644801</v>
      </c>
      <c r="F3" s="7">
        <v>712.17174176169033</v>
      </c>
      <c r="G3" s="7">
        <v>8.2586786508719534E-2</v>
      </c>
      <c r="H3">
        <f t="shared" ref="H3:H19" si="0">(F3-E3)/F3</f>
        <v>8.25867865098803E-2</v>
      </c>
      <c r="I3" s="9">
        <f t="shared" ref="I3:I19" si="1">ABS(G3-H3)</f>
        <v>1.1607659278212168E-12</v>
      </c>
      <c r="K3" s="7">
        <v>3600.5545792579651</v>
      </c>
      <c r="L3" s="7">
        <v>5.8334519863128662</v>
      </c>
      <c r="M3" s="7">
        <v>0.36727309226989752</v>
      </c>
      <c r="N3" s="7" t="s">
        <v>60</v>
      </c>
      <c r="O3" s="7">
        <v>4285.4858195781708</v>
      </c>
      <c r="P3" s="7" t="s">
        <v>61</v>
      </c>
      <c r="Q3" s="7">
        <v>3559.0290207862849</v>
      </c>
      <c r="R3" s="7" t="s">
        <v>62</v>
      </c>
      <c r="S3" s="7">
        <v>41.525558471679688</v>
      </c>
      <c r="T3" s="7" t="s">
        <v>63</v>
      </c>
      <c r="U3" s="7">
        <v>0.32295489311218262</v>
      </c>
      <c r="V3" s="7" t="s">
        <v>64</v>
      </c>
      <c r="W3" s="7">
        <v>19.519862651824951</v>
      </c>
      <c r="X3" s="7" t="s">
        <v>65</v>
      </c>
      <c r="Y3" s="7">
        <v>5.1021575927734382E-5</v>
      </c>
      <c r="Z3" s="7" t="s">
        <v>66</v>
      </c>
      <c r="AA3" s="7">
        <v>0</v>
      </c>
      <c r="AB3" s="7" t="s">
        <v>217</v>
      </c>
      <c r="AC3" s="7">
        <v>653.35576616644801</v>
      </c>
      <c r="AD3" s="7" t="s">
        <v>68</v>
      </c>
      <c r="AE3" s="7">
        <v>5</v>
      </c>
      <c r="AF3" s="7" t="s">
        <v>69</v>
      </c>
      <c r="AG3" s="7">
        <v>1</v>
      </c>
      <c r="AH3" s="7">
        <v>15030</v>
      </c>
    </row>
    <row r="4" spans="1:34" x14ac:dyDescent="0.15">
      <c r="A4" t="s">
        <v>43</v>
      </c>
      <c r="B4" t="s">
        <v>44</v>
      </c>
      <c r="C4" t="s">
        <v>70</v>
      </c>
      <c r="D4">
        <v>654.33687575785461</v>
      </c>
      <c r="E4" s="6">
        <v>654.33687575785405</v>
      </c>
      <c r="F4">
        <v>691.90596083459445</v>
      </c>
      <c r="G4">
        <v>5.4297964178369088E-2</v>
      </c>
      <c r="H4">
        <f t="shared" si="0"/>
        <v>5.4297964179154674E-2</v>
      </c>
      <c r="I4">
        <f t="shared" si="1"/>
        <v>7.8558687333085686E-13</v>
      </c>
      <c r="K4">
        <v>3659.465821743011</v>
      </c>
      <c r="L4">
        <v>5.8334519863128662</v>
      </c>
      <c r="M4">
        <v>0.25295829772949219</v>
      </c>
      <c r="N4" t="s">
        <v>71</v>
      </c>
      <c r="O4">
        <v>0</v>
      </c>
      <c r="P4" t="s">
        <v>71</v>
      </c>
      <c r="Q4">
        <v>0</v>
      </c>
      <c r="R4" t="s">
        <v>72</v>
      </c>
      <c r="S4">
        <v>271.32918071746832</v>
      </c>
      <c r="T4" t="s">
        <v>71</v>
      </c>
      <c r="U4">
        <v>0</v>
      </c>
      <c r="V4" t="s">
        <v>73</v>
      </c>
      <c r="W4">
        <v>122.2032814025879</v>
      </c>
      <c r="X4" t="s">
        <v>71</v>
      </c>
      <c r="Y4">
        <v>0</v>
      </c>
      <c r="Z4" t="s">
        <v>74</v>
      </c>
      <c r="AA4">
        <v>0</v>
      </c>
      <c r="AB4" s="6" t="s">
        <v>218</v>
      </c>
      <c r="AC4" s="6">
        <v>654.33687575785405</v>
      </c>
      <c r="AD4" t="s">
        <v>76</v>
      </c>
      <c r="AE4">
        <v>23</v>
      </c>
      <c r="AF4" t="s">
        <v>77</v>
      </c>
      <c r="AG4">
        <v>0</v>
      </c>
      <c r="AH4">
        <v>15030</v>
      </c>
    </row>
    <row r="5" spans="1:34" x14ac:dyDescent="0.15">
      <c r="A5" t="s">
        <v>78</v>
      </c>
      <c r="B5" t="s">
        <v>79</v>
      </c>
      <c r="C5" t="s">
        <v>45</v>
      </c>
      <c r="D5">
        <v>1384.236941275524</v>
      </c>
      <c r="E5" s="6">
        <v>1384.2369412755199</v>
      </c>
      <c r="F5">
        <v>1802.769225335506</v>
      </c>
      <c r="G5">
        <v>0.23216076587937559</v>
      </c>
      <c r="H5">
        <f t="shared" si="0"/>
        <v>0.23216076588066603</v>
      </c>
      <c r="I5">
        <f t="shared" si="1"/>
        <v>1.2904399770974351E-12</v>
      </c>
      <c r="K5">
        <v>3610.0825548172002</v>
      </c>
      <c r="L5">
        <v>9.0805439949035645</v>
      </c>
      <c r="M5">
        <v>1.168818473815918</v>
      </c>
      <c r="N5" t="s">
        <v>80</v>
      </c>
      <c r="O5">
        <v>7340.5228228569031</v>
      </c>
      <c r="P5" t="s">
        <v>81</v>
      </c>
      <c r="Q5">
        <v>3419.8919322490692</v>
      </c>
      <c r="R5" t="s">
        <v>82</v>
      </c>
      <c r="S5">
        <v>190.19062256813049</v>
      </c>
      <c r="T5" t="s">
        <v>83</v>
      </c>
      <c r="U5">
        <v>2.3592510223388672</v>
      </c>
      <c r="V5" t="s">
        <v>84</v>
      </c>
      <c r="W5">
        <v>272.69413089752197</v>
      </c>
      <c r="X5" t="s">
        <v>85</v>
      </c>
      <c r="Y5">
        <v>253.88455057144171</v>
      </c>
      <c r="Z5" t="s">
        <v>86</v>
      </c>
      <c r="AA5">
        <v>0</v>
      </c>
      <c r="AB5" s="6" t="s">
        <v>219</v>
      </c>
      <c r="AC5" s="6">
        <v>1384.2369412755199</v>
      </c>
      <c r="AD5" t="s">
        <v>88</v>
      </c>
      <c r="AF5" t="s">
        <v>89</v>
      </c>
      <c r="AG5">
        <v>1</v>
      </c>
      <c r="AH5">
        <v>44800</v>
      </c>
    </row>
    <row r="6" spans="1:34" s="7" customFormat="1" x14ac:dyDescent="0.15">
      <c r="A6" s="7" t="s">
        <v>78</v>
      </c>
      <c r="B6" s="7" t="s">
        <v>79</v>
      </c>
      <c r="C6" s="9" t="s">
        <v>59</v>
      </c>
      <c r="D6" s="7">
        <v>1444.739816379237</v>
      </c>
      <c r="E6" s="7">
        <v>1384.2369412755199</v>
      </c>
      <c r="F6" s="7">
        <v>1685.3244543201031</v>
      </c>
      <c r="G6" s="7">
        <v>0.17865255100938929</v>
      </c>
      <c r="H6">
        <f t="shared" si="0"/>
        <v>0.17865255101045127</v>
      </c>
      <c r="I6" s="9">
        <f t="shared" si="1"/>
        <v>1.0619838342051935E-12</v>
      </c>
      <c r="K6" s="7">
        <v>3612.158456325531</v>
      </c>
      <c r="L6" s="7">
        <v>9.0805439949035645</v>
      </c>
      <c r="M6" s="7">
        <v>1.1977946758270259</v>
      </c>
      <c r="N6" s="7" t="s">
        <v>90</v>
      </c>
      <c r="O6" s="7">
        <v>5653.438357591629</v>
      </c>
      <c r="P6" s="7" t="s">
        <v>91</v>
      </c>
      <c r="Q6" s="7">
        <v>3515.286642074585</v>
      </c>
      <c r="R6" s="7" t="s">
        <v>92</v>
      </c>
      <c r="S6" s="7">
        <v>96.871814250946045</v>
      </c>
      <c r="T6" s="7" t="s">
        <v>93</v>
      </c>
      <c r="U6" s="7">
        <v>0.73551297187805176</v>
      </c>
      <c r="V6" s="7" t="s">
        <v>94</v>
      </c>
      <c r="W6" s="7">
        <v>141.77163743972781</v>
      </c>
      <c r="X6" s="7" t="s">
        <v>95</v>
      </c>
      <c r="Y6" s="7">
        <v>2.4080276489257809E-5</v>
      </c>
      <c r="Z6" s="7" t="s">
        <v>96</v>
      </c>
      <c r="AA6" s="7">
        <v>0</v>
      </c>
      <c r="AB6" s="7" t="s">
        <v>220</v>
      </c>
      <c r="AC6" s="7">
        <v>1384.2369412755199</v>
      </c>
      <c r="AD6" s="7" t="s">
        <v>98</v>
      </c>
      <c r="AE6" s="7">
        <v>4</v>
      </c>
      <c r="AF6" s="7" t="s">
        <v>99</v>
      </c>
      <c r="AG6" s="7">
        <v>1</v>
      </c>
      <c r="AH6" s="7">
        <v>44800</v>
      </c>
    </row>
    <row r="7" spans="1:34" x14ac:dyDescent="0.15">
      <c r="A7" t="s">
        <v>78</v>
      </c>
      <c r="B7" t="s">
        <v>79</v>
      </c>
      <c r="C7" t="s">
        <v>70</v>
      </c>
      <c r="D7">
        <v>1450.654516332984</v>
      </c>
      <c r="E7" s="6">
        <v>1445.1525456250199</v>
      </c>
      <c r="F7">
        <v>1792.4510799782629</v>
      </c>
      <c r="G7">
        <v>0.19068669012016651</v>
      </c>
      <c r="H7">
        <f t="shared" si="0"/>
        <v>0.19375621361864709</v>
      </c>
      <c r="I7">
        <f t="shared" si="1"/>
        <v>3.0695234984805808E-3</v>
      </c>
      <c r="K7">
        <v>3884.6900625228882</v>
      </c>
      <c r="L7">
        <v>9.0805439949035645</v>
      </c>
      <c r="M7">
        <v>0.8845820426940918</v>
      </c>
      <c r="N7" t="s">
        <v>71</v>
      </c>
      <c r="O7">
        <v>0</v>
      </c>
      <c r="P7" t="s">
        <v>71</v>
      </c>
      <c r="Q7">
        <v>0</v>
      </c>
      <c r="R7" t="s">
        <v>100</v>
      </c>
      <c r="S7">
        <v>415.93159508705139</v>
      </c>
      <c r="T7" t="s">
        <v>71</v>
      </c>
      <c r="U7">
        <v>0</v>
      </c>
      <c r="V7" t="s">
        <v>101</v>
      </c>
      <c r="W7">
        <v>593.84329056739807</v>
      </c>
      <c r="X7" t="s">
        <v>71</v>
      </c>
      <c r="Y7">
        <v>0</v>
      </c>
      <c r="Z7" t="s">
        <v>102</v>
      </c>
      <c r="AA7">
        <v>0</v>
      </c>
      <c r="AB7" s="6" t="s">
        <v>221</v>
      </c>
      <c r="AC7" s="6">
        <v>1445.1525456250199</v>
      </c>
      <c r="AD7" t="s">
        <v>104</v>
      </c>
      <c r="AE7">
        <v>11</v>
      </c>
      <c r="AF7" t="s">
        <v>105</v>
      </c>
      <c r="AG7">
        <v>0</v>
      </c>
      <c r="AH7">
        <v>44800</v>
      </c>
    </row>
    <row r="8" spans="1:34" x14ac:dyDescent="0.15">
      <c r="A8" t="s">
        <v>106</v>
      </c>
      <c r="B8" t="s">
        <v>107</v>
      </c>
      <c r="C8" t="s">
        <v>45</v>
      </c>
      <c r="D8">
        <v>1712.161190428767</v>
      </c>
      <c r="E8" s="6">
        <v>1712.1611904287599</v>
      </c>
      <c r="F8">
        <v>2079.9907349183809</v>
      </c>
      <c r="G8">
        <v>0.17684191487625961</v>
      </c>
      <c r="H8">
        <f t="shared" si="0"/>
        <v>0.17684191487711345</v>
      </c>
      <c r="I8">
        <f t="shared" si="1"/>
        <v>8.5384477266359227E-13</v>
      </c>
      <c r="K8">
        <v>3603.9918794631958</v>
      </c>
      <c r="L8">
        <v>5.783289909362793</v>
      </c>
      <c r="M8">
        <v>0.75932550430297852</v>
      </c>
      <c r="N8" t="s">
        <v>108</v>
      </c>
      <c r="O8">
        <v>6320.4469752311707</v>
      </c>
      <c r="P8" t="s">
        <v>109</v>
      </c>
      <c r="Q8">
        <v>3454.1681482791901</v>
      </c>
      <c r="R8" t="s">
        <v>110</v>
      </c>
      <c r="S8">
        <v>149.82373118400571</v>
      </c>
      <c r="T8" t="s">
        <v>111</v>
      </c>
      <c r="U8">
        <v>1.5510656833648679</v>
      </c>
      <c r="V8" t="s">
        <v>112</v>
      </c>
      <c r="W8">
        <v>150.91232085227969</v>
      </c>
      <c r="X8" t="s">
        <v>113</v>
      </c>
      <c r="Y8">
        <v>180.1959578990936</v>
      </c>
      <c r="Z8" t="s">
        <v>114</v>
      </c>
      <c r="AA8">
        <v>0</v>
      </c>
      <c r="AB8" s="6" t="s">
        <v>222</v>
      </c>
      <c r="AC8" s="6">
        <v>1712.1611904287599</v>
      </c>
      <c r="AD8" t="s">
        <v>116</v>
      </c>
      <c r="AF8" t="s">
        <v>117</v>
      </c>
      <c r="AG8">
        <v>1</v>
      </c>
      <c r="AH8">
        <v>30300</v>
      </c>
    </row>
    <row r="9" spans="1:34" x14ac:dyDescent="0.15">
      <c r="A9" t="s">
        <v>106</v>
      </c>
      <c r="B9" t="s">
        <v>107</v>
      </c>
      <c r="C9" t="s">
        <v>59</v>
      </c>
      <c r="D9">
        <v>1774.563008774611</v>
      </c>
      <c r="E9" s="6">
        <v>1774.5630087746099</v>
      </c>
      <c r="F9">
        <v>2039.1417640042021</v>
      </c>
      <c r="G9">
        <v>0.12975005460569239</v>
      </c>
      <c r="H9">
        <f t="shared" si="0"/>
        <v>0.12975005460632943</v>
      </c>
      <c r="I9">
        <f t="shared" si="1"/>
        <v>6.3704597152991482E-13</v>
      </c>
      <c r="K9">
        <v>3601.5129539966579</v>
      </c>
      <c r="L9">
        <v>5.783289909362793</v>
      </c>
      <c r="M9">
        <v>0.80102801322937012</v>
      </c>
      <c r="N9" t="s">
        <v>118</v>
      </c>
      <c r="O9">
        <v>4876.3812289237976</v>
      </c>
      <c r="P9" t="s">
        <v>119</v>
      </c>
      <c r="Q9">
        <v>3535.414363622665</v>
      </c>
      <c r="R9" t="s">
        <v>120</v>
      </c>
      <c r="S9">
        <v>66.09859037399292</v>
      </c>
      <c r="T9" t="s">
        <v>121</v>
      </c>
      <c r="U9">
        <v>0.53200197219848633</v>
      </c>
      <c r="V9" t="s">
        <v>122</v>
      </c>
      <c r="W9">
        <v>62.275960206985467</v>
      </c>
      <c r="X9" t="s">
        <v>123</v>
      </c>
      <c r="Y9">
        <v>2.7894973754882809E-5</v>
      </c>
      <c r="Z9" t="s">
        <v>96</v>
      </c>
      <c r="AA9">
        <v>0</v>
      </c>
      <c r="AB9" s="6" t="s">
        <v>223</v>
      </c>
      <c r="AC9" s="6">
        <v>1774.5630087746099</v>
      </c>
      <c r="AD9" t="s">
        <v>125</v>
      </c>
      <c r="AE9">
        <v>4</v>
      </c>
      <c r="AF9" t="s">
        <v>126</v>
      </c>
      <c r="AG9">
        <v>1</v>
      </c>
      <c r="AH9">
        <v>30300</v>
      </c>
    </row>
    <row r="10" spans="1:34" x14ac:dyDescent="0.15">
      <c r="A10" t="s">
        <v>106</v>
      </c>
      <c r="B10" t="s">
        <v>107</v>
      </c>
      <c r="C10" t="s">
        <v>70</v>
      </c>
      <c r="D10">
        <v>1789.5446621814281</v>
      </c>
      <c r="E10" s="6">
        <v>1789.5446621814201</v>
      </c>
      <c r="F10">
        <v>1964.7221135582031</v>
      </c>
      <c r="G10">
        <v>8.9161439252408548E-2</v>
      </c>
      <c r="H10">
        <f t="shared" si="0"/>
        <v>8.916143925286639E-2</v>
      </c>
      <c r="I10">
        <f t="shared" si="1"/>
        <v>4.5784209756760674E-13</v>
      </c>
      <c r="K10">
        <v>4538.9963824748993</v>
      </c>
      <c r="L10">
        <v>5.783289909362793</v>
      </c>
      <c r="M10">
        <v>0.77289485931396484</v>
      </c>
      <c r="N10" t="s">
        <v>71</v>
      </c>
      <c r="O10">
        <v>0</v>
      </c>
      <c r="P10" t="s">
        <v>71</v>
      </c>
      <c r="Q10">
        <v>0</v>
      </c>
      <c r="R10" t="s">
        <v>127</v>
      </c>
      <c r="S10">
        <v>390.72796201705933</v>
      </c>
      <c r="T10" t="s">
        <v>71</v>
      </c>
      <c r="U10">
        <v>0</v>
      </c>
      <c r="V10" t="s">
        <v>128</v>
      </c>
      <c r="W10">
        <v>360.29098224639893</v>
      </c>
      <c r="X10" t="s">
        <v>71</v>
      </c>
      <c r="Y10">
        <v>0</v>
      </c>
      <c r="Z10" t="s">
        <v>129</v>
      </c>
      <c r="AA10">
        <v>0</v>
      </c>
      <c r="AB10" s="6" t="s">
        <v>224</v>
      </c>
      <c r="AC10" s="6">
        <v>1789.5446621814201</v>
      </c>
      <c r="AD10" t="s">
        <v>131</v>
      </c>
      <c r="AE10">
        <v>15</v>
      </c>
      <c r="AF10" t="s">
        <v>132</v>
      </c>
      <c r="AG10">
        <v>0</v>
      </c>
      <c r="AH10">
        <v>30300</v>
      </c>
    </row>
    <row r="11" spans="1:34" s="7" customFormat="1" x14ac:dyDescent="0.15">
      <c r="A11" s="7" t="s">
        <v>133</v>
      </c>
      <c r="B11" s="7" t="s">
        <v>134</v>
      </c>
      <c r="C11" s="7" t="s">
        <v>45</v>
      </c>
      <c r="D11" s="7">
        <v>1161.1833038376151</v>
      </c>
      <c r="E11" s="7">
        <v>776.32963616656002</v>
      </c>
      <c r="F11" s="7">
        <v>979.44045796295495</v>
      </c>
      <c r="G11" s="7">
        <v>-0.18555782987645211</v>
      </c>
      <c r="H11">
        <f t="shared" si="0"/>
        <v>0.20737434332539806</v>
      </c>
      <c r="I11" s="7">
        <f t="shared" si="1"/>
        <v>0.39293217320185014</v>
      </c>
      <c r="K11" s="7">
        <v>1235.97471165657</v>
      </c>
      <c r="L11" s="7">
        <v>8.7590394020080566</v>
      </c>
      <c r="M11" s="7">
        <v>0.57406449317932129</v>
      </c>
      <c r="N11" s="7" t="s">
        <v>135</v>
      </c>
      <c r="O11" s="7">
        <v>3196.1928720474239</v>
      </c>
      <c r="P11" s="7" t="s">
        <v>136</v>
      </c>
      <c r="Q11" s="7">
        <v>1118.1676752567289</v>
      </c>
      <c r="R11" s="7" t="s">
        <v>137</v>
      </c>
      <c r="S11" s="7">
        <v>117.80703639984129</v>
      </c>
      <c r="T11" s="7" t="s">
        <v>138</v>
      </c>
      <c r="U11" s="7">
        <v>0.8739769458770752</v>
      </c>
      <c r="V11" s="7" t="s">
        <v>139</v>
      </c>
      <c r="W11" s="7">
        <v>109.5620036125183</v>
      </c>
      <c r="X11" s="7" t="s">
        <v>140</v>
      </c>
      <c r="Y11" s="7">
        <v>109.1526012420654</v>
      </c>
      <c r="Z11" s="7" t="s">
        <v>141</v>
      </c>
      <c r="AA11" s="7">
        <v>0</v>
      </c>
      <c r="AB11" s="7" t="s">
        <v>225</v>
      </c>
      <c r="AC11" s="7">
        <v>1161.1833038376101</v>
      </c>
      <c r="AD11" s="7" t="s">
        <v>143</v>
      </c>
      <c r="AF11" s="7" t="s">
        <v>144</v>
      </c>
      <c r="AG11" s="7">
        <v>1</v>
      </c>
      <c r="AH11" s="7">
        <v>30050</v>
      </c>
    </row>
    <row r="12" spans="1:34" x14ac:dyDescent="0.15">
      <c r="A12" t="s">
        <v>133</v>
      </c>
      <c r="B12" t="s">
        <v>134</v>
      </c>
      <c r="C12" s="4" t="s">
        <v>59</v>
      </c>
      <c r="D12">
        <v>1161.1833038376151</v>
      </c>
      <c r="E12" s="6">
        <v>860.77038643838898</v>
      </c>
      <c r="F12">
        <v>946.87337926586406</v>
      </c>
      <c r="G12">
        <v>9.2472293782725618E-2</v>
      </c>
      <c r="H12">
        <f t="shared" si="0"/>
        <v>9.0934009459884696E-2</v>
      </c>
      <c r="I12" s="3">
        <f t="shared" si="1"/>
        <v>1.5382843228409215E-3</v>
      </c>
      <c r="K12">
        <v>3602.3359682559972</v>
      </c>
      <c r="L12">
        <v>8.7590394020080566</v>
      </c>
      <c r="M12">
        <v>0.70494937896728516</v>
      </c>
      <c r="N12" t="s">
        <v>145</v>
      </c>
      <c r="O12">
        <v>5099.3143877983093</v>
      </c>
      <c r="P12" t="s">
        <v>146</v>
      </c>
      <c r="Q12">
        <v>3519.4842882156372</v>
      </c>
      <c r="R12" t="s">
        <v>147</v>
      </c>
      <c r="S12">
        <v>82.851680040359497</v>
      </c>
      <c r="T12" t="s">
        <v>148</v>
      </c>
      <c r="U12">
        <v>0.79593563079833984</v>
      </c>
      <c r="V12" t="s">
        <v>149</v>
      </c>
      <c r="W12">
        <v>83.931724309921265</v>
      </c>
      <c r="X12" t="s">
        <v>150</v>
      </c>
      <c r="Y12">
        <v>3.3617019653320313E-5</v>
      </c>
      <c r="Z12" t="s">
        <v>66</v>
      </c>
      <c r="AA12">
        <v>0</v>
      </c>
      <c r="AB12" s="6" t="s">
        <v>226</v>
      </c>
      <c r="AC12" s="6">
        <v>860.77038643838898</v>
      </c>
      <c r="AD12" t="s">
        <v>152</v>
      </c>
      <c r="AE12">
        <v>5</v>
      </c>
      <c r="AF12" t="s">
        <v>153</v>
      </c>
      <c r="AG12">
        <v>1</v>
      </c>
      <c r="AH12">
        <v>30050</v>
      </c>
    </row>
    <row r="13" spans="1:34" x14ac:dyDescent="0.15">
      <c r="A13" t="s">
        <v>133</v>
      </c>
      <c r="B13" t="s">
        <v>134</v>
      </c>
      <c r="C13" t="s">
        <v>70</v>
      </c>
      <c r="D13">
        <v>850.59624838730099</v>
      </c>
      <c r="E13" s="6">
        <v>850.59624838730099</v>
      </c>
      <c r="F13">
        <v>943.75147719309575</v>
      </c>
      <c r="G13">
        <v>9.870737270988951E-2</v>
      </c>
      <c r="H13">
        <f t="shared" si="0"/>
        <v>9.8707372710935409E-2</v>
      </c>
      <c r="I13">
        <f t="shared" si="1"/>
        <v>1.0458994781359365E-12</v>
      </c>
      <c r="K13">
        <v>5423.9154515266418</v>
      </c>
      <c r="L13">
        <v>8.7590394020080566</v>
      </c>
      <c r="M13">
        <v>0.66357707977294922</v>
      </c>
      <c r="N13" t="s">
        <v>71</v>
      </c>
      <c r="O13">
        <v>0</v>
      </c>
      <c r="P13" t="s">
        <v>71</v>
      </c>
      <c r="Q13">
        <v>0</v>
      </c>
      <c r="R13" t="s">
        <v>154</v>
      </c>
      <c r="S13">
        <v>369.13426828384399</v>
      </c>
      <c r="T13" t="s">
        <v>71</v>
      </c>
      <c r="U13">
        <v>0</v>
      </c>
      <c r="V13" t="s">
        <v>155</v>
      </c>
      <c r="W13">
        <v>354.40067005157471</v>
      </c>
      <c r="X13" t="s">
        <v>71</v>
      </c>
      <c r="Y13">
        <v>0</v>
      </c>
      <c r="Z13" t="s">
        <v>129</v>
      </c>
      <c r="AA13">
        <v>0</v>
      </c>
      <c r="AB13" s="6" t="s">
        <v>227</v>
      </c>
      <c r="AC13" s="6">
        <v>850.59624838730099</v>
      </c>
      <c r="AD13" t="s">
        <v>157</v>
      </c>
      <c r="AE13">
        <v>15</v>
      </c>
      <c r="AF13" t="s">
        <v>158</v>
      </c>
      <c r="AG13">
        <v>0</v>
      </c>
      <c r="AH13">
        <v>30050</v>
      </c>
    </row>
    <row r="14" spans="1:34" x14ac:dyDescent="0.15">
      <c r="A14" t="s">
        <v>159</v>
      </c>
      <c r="B14" t="s">
        <v>160</v>
      </c>
      <c r="C14" t="s">
        <v>45</v>
      </c>
      <c r="D14">
        <v>1250.1947717662119</v>
      </c>
      <c r="E14" s="6">
        <v>1250.1947717662099</v>
      </c>
      <c r="F14">
        <v>1524.745437830753</v>
      </c>
      <c r="G14">
        <v>0.1800632808931972</v>
      </c>
      <c r="H14">
        <f t="shared" si="0"/>
        <v>0.18006328089437987</v>
      </c>
      <c r="I14">
        <f t="shared" si="1"/>
        <v>1.182665076981948E-12</v>
      </c>
      <c r="K14">
        <v>3611.323148488998</v>
      </c>
      <c r="L14">
        <v>5.8432960510253906</v>
      </c>
      <c r="M14">
        <v>0.65252375602722168</v>
      </c>
      <c r="N14" t="s">
        <v>161</v>
      </c>
      <c r="O14">
        <v>5981.7429416179657</v>
      </c>
      <c r="P14" t="s">
        <v>162</v>
      </c>
      <c r="Q14">
        <v>3475.4735472202301</v>
      </c>
      <c r="R14" t="s">
        <v>163</v>
      </c>
      <c r="S14">
        <v>135.84960126876831</v>
      </c>
      <c r="T14" t="s">
        <v>164</v>
      </c>
      <c r="U14">
        <v>1.408703565597534</v>
      </c>
      <c r="V14" t="s">
        <v>165</v>
      </c>
      <c r="W14">
        <v>121.1644010543823</v>
      </c>
      <c r="X14" t="s">
        <v>166</v>
      </c>
      <c r="Y14">
        <v>122.858229637146</v>
      </c>
      <c r="Z14" t="s">
        <v>114</v>
      </c>
      <c r="AA14">
        <v>0</v>
      </c>
      <c r="AB14" s="6" t="s">
        <v>228</v>
      </c>
      <c r="AC14" s="6">
        <v>1250.1947717662099</v>
      </c>
      <c r="AD14" t="s">
        <v>168</v>
      </c>
      <c r="AF14" t="s">
        <v>169</v>
      </c>
      <c r="AG14">
        <v>1</v>
      </c>
      <c r="AH14">
        <v>26850</v>
      </c>
    </row>
    <row r="15" spans="1:34" x14ac:dyDescent="0.15">
      <c r="A15" t="s">
        <v>159</v>
      </c>
      <c r="B15" t="s">
        <v>160</v>
      </c>
      <c r="C15" s="4" t="s">
        <v>59</v>
      </c>
      <c r="D15">
        <v>1323.777008817603</v>
      </c>
      <c r="E15" s="6">
        <v>1323.7770088176001</v>
      </c>
      <c r="F15">
        <v>1472.4278172750419</v>
      </c>
      <c r="G15">
        <v>0.1042323141764048</v>
      </c>
      <c r="H15">
        <f t="shared" si="0"/>
        <v>0.10095626197319704</v>
      </c>
      <c r="I15" s="3">
        <f t="shared" si="1"/>
        <v>3.2760522032077577E-3</v>
      </c>
      <c r="K15">
        <v>3603.829573154449</v>
      </c>
      <c r="L15">
        <v>5.8432960510253906</v>
      </c>
      <c r="M15">
        <v>0.66072487831115723</v>
      </c>
      <c r="N15" t="s">
        <v>170</v>
      </c>
      <c r="O15">
        <v>5014.7031357288361</v>
      </c>
      <c r="P15" t="s">
        <v>171</v>
      </c>
      <c r="Q15">
        <v>3525.6321682929988</v>
      </c>
      <c r="R15" t="s">
        <v>172</v>
      </c>
      <c r="S15">
        <v>78.197404861450195</v>
      </c>
      <c r="T15" t="s">
        <v>173</v>
      </c>
      <c r="U15">
        <v>0.77445006370544434</v>
      </c>
      <c r="V15" t="s">
        <v>174</v>
      </c>
      <c r="W15">
        <v>69.064270496368408</v>
      </c>
      <c r="X15" t="s">
        <v>175</v>
      </c>
      <c r="Y15">
        <v>5.0067901611328118E-5</v>
      </c>
      <c r="Z15" t="s">
        <v>66</v>
      </c>
      <c r="AA15">
        <v>0</v>
      </c>
      <c r="AB15" s="6" t="s">
        <v>229</v>
      </c>
      <c r="AC15" s="6">
        <v>1323.7770088176001</v>
      </c>
      <c r="AD15" t="s">
        <v>177</v>
      </c>
      <c r="AE15">
        <v>5</v>
      </c>
      <c r="AF15" t="s">
        <v>178</v>
      </c>
      <c r="AG15">
        <v>1</v>
      </c>
      <c r="AH15">
        <v>26850</v>
      </c>
    </row>
    <row r="16" spans="1:34" x14ac:dyDescent="0.15">
      <c r="A16" t="s">
        <v>159</v>
      </c>
      <c r="B16" t="s">
        <v>160</v>
      </c>
      <c r="C16" t="s">
        <v>70</v>
      </c>
      <c r="D16">
        <v>1325.2101421340681</v>
      </c>
      <c r="E16" s="6">
        <v>1325.2101421340601</v>
      </c>
      <c r="F16">
        <v>1458.1181839357521</v>
      </c>
      <c r="G16">
        <v>9.1150390458767175E-2</v>
      </c>
      <c r="H16">
        <f t="shared" si="0"/>
        <v>9.1150390459397906E-2</v>
      </c>
      <c r="I16">
        <f t="shared" si="1"/>
        <v>6.3073157807735925E-13</v>
      </c>
      <c r="K16">
        <v>5607.7138464450836</v>
      </c>
      <c r="L16">
        <v>5.8432960510253906</v>
      </c>
      <c r="M16">
        <v>0.68554067611694336</v>
      </c>
      <c r="N16" t="s">
        <v>71</v>
      </c>
      <c r="O16">
        <v>0</v>
      </c>
      <c r="P16" t="s">
        <v>71</v>
      </c>
      <c r="Q16">
        <v>0</v>
      </c>
      <c r="R16" t="s">
        <v>179</v>
      </c>
      <c r="S16">
        <v>333.75437569618231</v>
      </c>
      <c r="T16" t="s">
        <v>71</v>
      </c>
      <c r="U16">
        <v>0</v>
      </c>
      <c r="V16" t="s">
        <v>180</v>
      </c>
      <c r="W16">
        <v>280.23439764976501</v>
      </c>
      <c r="X16" t="s">
        <v>71</v>
      </c>
      <c r="Y16">
        <v>0</v>
      </c>
      <c r="Z16" t="s">
        <v>129</v>
      </c>
      <c r="AA16">
        <v>0</v>
      </c>
      <c r="AB16" s="6" t="s">
        <v>230</v>
      </c>
      <c r="AC16" s="6">
        <v>1325.2101421340601</v>
      </c>
      <c r="AD16" t="s">
        <v>182</v>
      </c>
      <c r="AE16">
        <v>15</v>
      </c>
      <c r="AF16" t="s">
        <v>183</v>
      </c>
      <c r="AG16">
        <v>0</v>
      </c>
      <c r="AH16">
        <v>26850</v>
      </c>
    </row>
    <row r="17" spans="1:34" x14ac:dyDescent="0.15">
      <c r="A17" t="s">
        <v>184</v>
      </c>
      <c r="B17" t="s">
        <v>185</v>
      </c>
      <c r="C17" t="s">
        <v>45</v>
      </c>
      <c r="D17">
        <v>962.51497629767039</v>
      </c>
      <c r="E17" s="6">
        <v>962.51497629767005</v>
      </c>
      <c r="F17">
        <v>1088.409909908595</v>
      </c>
      <c r="G17">
        <v>0.11566867635405891</v>
      </c>
      <c r="H17">
        <f t="shared" si="0"/>
        <v>0.11566867635512214</v>
      </c>
      <c r="I17">
        <f t="shared" si="1"/>
        <v>1.0632328351078968E-12</v>
      </c>
      <c r="K17">
        <v>3616.5794053077698</v>
      </c>
      <c r="L17">
        <v>8.7396347522735596</v>
      </c>
      <c r="M17">
        <v>0.61545228958129883</v>
      </c>
      <c r="N17" t="s">
        <v>186</v>
      </c>
      <c r="O17">
        <v>6605.0594611167908</v>
      </c>
      <c r="P17" t="s">
        <v>187</v>
      </c>
      <c r="Q17">
        <v>3451.2051720619202</v>
      </c>
      <c r="R17" t="s">
        <v>188</v>
      </c>
      <c r="S17">
        <v>165.37423324584961</v>
      </c>
      <c r="T17" t="s">
        <v>189</v>
      </c>
      <c r="U17">
        <v>1.510723352432251</v>
      </c>
      <c r="V17" t="s">
        <v>190</v>
      </c>
      <c r="W17">
        <v>189.91432881355291</v>
      </c>
      <c r="X17" t="s">
        <v>191</v>
      </c>
      <c r="Y17">
        <v>142.09632992744449</v>
      </c>
      <c r="Z17" t="s">
        <v>114</v>
      </c>
      <c r="AA17">
        <v>0</v>
      </c>
      <c r="AB17" s="6" t="s">
        <v>231</v>
      </c>
      <c r="AC17" s="6">
        <v>962.51497629767005</v>
      </c>
      <c r="AD17" t="s">
        <v>193</v>
      </c>
      <c r="AF17" t="s">
        <v>194</v>
      </c>
      <c r="AG17">
        <v>1</v>
      </c>
      <c r="AH17">
        <v>33950</v>
      </c>
    </row>
    <row r="18" spans="1:34" x14ac:dyDescent="0.15">
      <c r="A18" t="s">
        <v>184</v>
      </c>
      <c r="B18" t="s">
        <v>185</v>
      </c>
      <c r="C18" s="4" t="s">
        <v>59</v>
      </c>
      <c r="D18">
        <v>960.66934130396578</v>
      </c>
      <c r="E18" s="6">
        <v>960.66934130396498</v>
      </c>
      <c r="F18">
        <v>1100.707412016385</v>
      </c>
      <c r="G18">
        <v>0.1838329423452128</v>
      </c>
      <c r="H18">
        <f t="shared" si="0"/>
        <v>0.12722551804742041</v>
      </c>
      <c r="I18" s="3">
        <f t="shared" si="1"/>
        <v>5.6607424297792391E-2</v>
      </c>
      <c r="K18">
        <v>3606.1209738254552</v>
      </c>
      <c r="L18">
        <v>8.7396347522735596</v>
      </c>
      <c r="M18">
        <v>0.75783562660217285</v>
      </c>
      <c r="N18" t="s">
        <v>195</v>
      </c>
      <c r="O18">
        <v>5341.3997910022736</v>
      </c>
      <c r="P18" t="s">
        <v>196</v>
      </c>
      <c r="Q18">
        <v>3514.93838763237</v>
      </c>
      <c r="R18" t="s">
        <v>197</v>
      </c>
      <c r="S18">
        <v>91.182586193084717</v>
      </c>
      <c r="T18" t="s">
        <v>198</v>
      </c>
      <c r="U18">
        <v>0.75925397872924805</v>
      </c>
      <c r="V18" t="s">
        <v>199</v>
      </c>
      <c r="W18">
        <v>107.2894566059113</v>
      </c>
      <c r="X18" t="s">
        <v>200</v>
      </c>
      <c r="Y18">
        <v>3.0279159545898441E-5</v>
      </c>
      <c r="Z18" t="s">
        <v>66</v>
      </c>
      <c r="AA18">
        <v>0</v>
      </c>
      <c r="AB18" s="6" t="s">
        <v>232</v>
      </c>
      <c r="AC18" s="6">
        <v>960.66934130396498</v>
      </c>
      <c r="AD18" t="s">
        <v>202</v>
      </c>
      <c r="AE18">
        <v>5</v>
      </c>
      <c r="AF18" t="s">
        <v>203</v>
      </c>
      <c r="AG18">
        <v>1</v>
      </c>
      <c r="AH18">
        <v>33950</v>
      </c>
    </row>
    <row r="19" spans="1:34" x14ac:dyDescent="0.15">
      <c r="A19" t="s">
        <v>184</v>
      </c>
      <c r="B19" t="s">
        <v>185</v>
      </c>
      <c r="C19" t="s">
        <v>70</v>
      </c>
      <c r="D19">
        <v>971.62720565890356</v>
      </c>
      <c r="E19" s="6">
        <v>971.62720565890299</v>
      </c>
      <c r="F19">
        <v>1087.853415324648</v>
      </c>
      <c r="G19">
        <v>0.1068399547470196</v>
      </c>
      <c r="H19">
        <f t="shared" si="0"/>
        <v>0.1068399547480022</v>
      </c>
      <c r="I19">
        <f t="shared" si="1"/>
        <v>9.826028879444948E-13</v>
      </c>
      <c r="K19">
        <v>5097.3871762752533</v>
      </c>
      <c r="L19">
        <v>8.7396347522735596</v>
      </c>
      <c r="M19">
        <v>0.79939913749694824</v>
      </c>
      <c r="N19" t="s">
        <v>71</v>
      </c>
      <c r="O19">
        <v>0</v>
      </c>
      <c r="P19" t="s">
        <v>71</v>
      </c>
      <c r="Q19">
        <v>0</v>
      </c>
      <c r="R19" t="s">
        <v>204</v>
      </c>
      <c r="S19">
        <v>363.70476841926569</v>
      </c>
      <c r="T19" t="s">
        <v>71</v>
      </c>
      <c r="U19">
        <v>0</v>
      </c>
      <c r="V19" t="s">
        <v>205</v>
      </c>
      <c r="W19">
        <v>389.73399114608759</v>
      </c>
      <c r="X19" t="s">
        <v>71</v>
      </c>
      <c r="Y19">
        <v>0</v>
      </c>
      <c r="Z19" t="s">
        <v>206</v>
      </c>
      <c r="AA19">
        <v>0</v>
      </c>
      <c r="AB19" s="6" t="s">
        <v>233</v>
      </c>
      <c r="AC19" s="6">
        <v>971.62720565890299</v>
      </c>
      <c r="AD19" t="s">
        <v>208</v>
      </c>
      <c r="AE19">
        <v>13</v>
      </c>
      <c r="AF19" t="s">
        <v>209</v>
      </c>
      <c r="AG19">
        <v>3</v>
      </c>
      <c r="AH19">
        <v>33950</v>
      </c>
    </row>
    <row r="25" spans="1:34" x14ac:dyDescent="0.15">
      <c r="A25" s="7" t="s">
        <v>213</v>
      </c>
    </row>
    <row r="26" spans="1:34" x14ac:dyDescent="0.15">
      <c r="A26" t="s">
        <v>234</v>
      </c>
    </row>
    <row r="27" spans="1:34" x14ac:dyDescent="0.15">
      <c r="A27" t="s">
        <v>235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33E98-1DB5-455D-AB0C-3B192F98B0AC}">
  <dimension ref="A1:G19"/>
  <sheetViews>
    <sheetView workbookViewId="0">
      <selection activeCell="C2" sqref="C2:G19"/>
    </sheetView>
  </sheetViews>
  <sheetFormatPr defaultRowHeight="13.5" x14ac:dyDescent="0.15"/>
  <cols>
    <col min="1" max="1" width="29.5" bestFit="1" customWidth="1"/>
    <col min="2" max="2" width="12.75" bestFit="1" customWidth="1"/>
    <col min="3" max="4" width="12.75" style="18" bestFit="1" customWidth="1"/>
    <col min="5" max="5" width="12.75" style="21" bestFit="1" customWidth="1"/>
    <col min="6" max="6" width="13.25" style="18" bestFit="1" customWidth="1"/>
    <col min="7" max="7" width="12.75" style="21" bestFit="1" customWidth="1"/>
  </cols>
  <sheetData>
    <row r="1" spans="1:7" x14ac:dyDescent="0.15">
      <c r="A1" s="11" t="s">
        <v>1</v>
      </c>
      <c r="B1" s="11" t="s">
        <v>2</v>
      </c>
      <c r="C1" s="15" t="s">
        <v>214</v>
      </c>
      <c r="D1" s="16" t="s">
        <v>35</v>
      </c>
      <c r="E1" s="19" t="s">
        <v>36</v>
      </c>
      <c r="F1" s="15" t="s">
        <v>215</v>
      </c>
      <c r="G1" s="22" t="s">
        <v>210</v>
      </c>
    </row>
    <row r="2" spans="1:7" x14ac:dyDescent="0.15">
      <c r="A2" s="12" t="s">
        <v>44</v>
      </c>
      <c r="B2" s="12" t="s">
        <v>45</v>
      </c>
      <c r="C2" s="17">
        <v>659.42835371532806</v>
      </c>
      <c r="D2" s="17">
        <v>712.16542499561831</v>
      </c>
      <c r="E2" s="20">
        <f>(D2-C2)/D2</f>
        <v>7.4051715274740734E-2</v>
      </c>
      <c r="F2" s="17">
        <v>659.42835371532794</v>
      </c>
      <c r="G2" s="20">
        <f>(D2-F2)/D2</f>
        <v>7.4051715274740887E-2</v>
      </c>
    </row>
    <row r="3" spans="1:7" x14ac:dyDescent="0.15">
      <c r="A3" s="12" t="s">
        <v>44</v>
      </c>
      <c r="B3" s="13" t="s">
        <v>59</v>
      </c>
      <c r="C3" s="17">
        <v>960.68209273480022</v>
      </c>
      <c r="D3" s="17">
        <v>712.17174176169033</v>
      </c>
      <c r="E3" s="20">
        <f t="shared" ref="E3:E19" si="0">(D3-C3)/D3</f>
        <v>-0.34894722213826251</v>
      </c>
      <c r="F3" s="17">
        <v>653.35576616644801</v>
      </c>
      <c r="G3" s="20">
        <f>(D3-F3)/D3</f>
        <v>8.25867865098803E-2</v>
      </c>
    </row>
    <row r="4" spans="1:7" x14ac:dyDescent="0.15">
      <c r="A4" s="12" t="s">
        <v>44</v>
      </c>
      <c r="B4" s="12" t="s">
        <v>70</v>
      </c>
      <c r="C4" s="17">
        <v>654.33687575785461</v>
      </c>
      <c r="D4" s="17">
        <v>691.90596083459445</v>
      </c>
      <c r="E4" s="20">
        <f t="shared" si="0"/>
        <v>5.4297964179153856E-2</v>
      </c>
      <c r="F4" s="17">
        <v>654.33687575785405</v>
      </c>
      <c r="G4" s="20">
        <f>(D4-F4)/D4</f>
        <v>5.4297964179154674E-2</v>
      </c>
    </row>
    <row r="5" spans="1:7" x14ac:dyDescent="0.15">
      <c r="A5" s="12" t="s">
        <v>79</v>
      </c>
      <c r="B5" s="12" t="s">
        <v>45</v>
      </c>
      <c r="C5" s="17">
        <v>1384.236941275524</v>
      </c>
      <c r="D5" s="17">
        <v>1802.769225335506</v>
      </c>
      <c r="E5" s="20">
        <f t="shared" si="0"/>
        <v>0.23216076588066376</v>
      </c>
      <c r="F5" s="17">
        <v>1384.2369412755199</v>
      </c>
      <c r="G5" s="20">
        <f>(D5-F5)/D5</f>
        <v>0.23216076588066603</v>
      </c>
    </row>
    <row r="6" spans="1:7" x14ac:dyDescent="0.15">
      <c r="A6" s="12" t="s">
        <v>79</v>
      </c>
      <c r="B6" s="14" t="s">
        <v>59</v>
      </c>
      <c r="C6" s="17">
        <v>1444.739816379237</v>
      </c>
      <c r="D6" s="17">
        <v>1685.3244543201031</v>
      </c>
      <c r="E6" s="20">
        <f t="shared" si="0"/>
        <v>0.14275271288217509</v>
      </c>
      <c r="F6" s="17">
        <v>1384.2369412755199</v>
      </c>
      <c r="G6" s="20">
        <f>(D6-F6)/D6</f>
        <v>0.17865255101045127</v>
      </c>
    </row>
    <row r="7" spans="1:7" x14ac:dyDescent="0.15">
      <c r="A7" s="12" t="s">
        <v>79</v>
      </c>
      <c r="B7" s="12" t="s">
        <v>70</v>
      </c>
      <c r="C7" s="17">
        <v>1450.654516332984</v>
      </c>
      <c r="D7" s="17">
        <v>1792.4510799782629</v>
      </c>
      <c r="E7" s="20">
        <f t="shared" si="0"/>
        <v>0.19068669012122988</v>
      </c>
      <c r="F7" s="17">
        <v>1445.1525456250199</v>
      </c>
      <c r="G7" s="20">
        <f>(D7-F7)/D7</f>
        <v>0.19375621361864709</v>
      </c>
    </row>
    <row r="8" spans="1:7" x14ac:dyDescent="0.15">
      <c r="A8" s="12" t="s">
        <v>107</v>
      </c>
      <c r="B8" s="12" t="s">
        <v>45</v>
      </c>
      <c r="C8" s="17">
        <v>1712.161190428767</v>
      </c>
      <c r="D8" s="17">
        <v>2079.9907349183809</v>
      </c>
      <c r="E8" s="20">
        <f t="shared" si="0"/>
        <v>0.17684191487711007</v>
      </c>
      <c r="F8" s="17">
        <v>1712.1611904287599</v>
      </c>
      <c r="G8" s="20">
        <f>(D8-F8)/D8</f>
        <v>0.17684191487711345</v>
      </c>
    </row>
    <row r="9" spans="1:7" x14ac:dyDescent="0.15">
      <c r="A9" s="12" t="s">
        <v>107</v>
      </c>
      <c r="B9" s="12" t="s">
        <v>59</v>
      </c>
      <c r="C9" s="17">
        <v>1774.563008774611</v>
      </c>
      <c r="D9" s="17">
        <v>2039.1417640042021</v>
      </c>
      <c r="E9" s="20">
        <f t="shared" si="0"/>
        <v>0.12975005460632888</v>
      </c>
      <c r="F9" s="17">
        <v>1774.5630087746099</v>
      </c>
      <c r="G9" s="20">
        <f>(D9-F9)/D9</f>
        <v>0.12975005460632943</v>
      </c>
    </row>
    <row r="10" spans="1:7" x14ac:dyDescent="0.15">
      <c r="A10" s="12" t="s">
        <v>107</v>
      </c>
      <c r="B10" s="12" t="s">
        <v>70</v>
      </c>
      <c r="C10" s="17">
        <v>1789.5446621814281</v>
      </c>
      <c r="D10" s="17">
        <v>1964.7221135582031</v>
      </c>
      <c r="E10" s="20">
        <f t="shared" si="0"/>
        <v>8.9161439252862337E-2</v>
      </c>
      <c r="F10" s="17">
        <v>1789.5446621814201</v>
      </c>
      <c r="G10" s="20">
        <f>(D10-F10)/D10</f>
        <v>8.916143925286639E-2</v>
      </c>
    </row>
    <row r="11" spans="1:7" x14ac:dyDescent="0.15">
      <c r="A11" s="12" t="s">
        <v>134</v>
      </c>
      <c r="B11" s="12" t="s">
        <v>45</v>
      </c>
      <c r="C11" s="17">
        <v>1161.1833038376151</v>
      </c>
      <c r="D11" s="17">
        <v>979.44045796295495</v>
      </c>
      <c r="E11" s="20">
        <f t="shared" si="0"/>
        <v>-0.18555782987834685</v>
      </c>
      <c r="F11" s="17">
        <v>776.32963616656002</v>
      </c>
      <c r="G11" s="20">
        <f>(D11-F11)/D11</f>
        <v>0.20737434332539806</v>
      </c>
    </row>
    <row r="12" spans="1:7" x14ac:dyDescent="0.15">
      <c r="A12" s="12" t="s">
        <v>134</v>
      </c>
      <c r="B12" s="13" t="s">
        <v>59</v>
      </c>
      <c r="C12" s="17">
        <v>1161.1833038376151</v>
      </c>
      <c r="D12" s="17">
        <v>946.87337926586406</v>
      </c>
      <c r="E12" s="20">
        <f t="shared" si="0"/>
        <v>-0.22633430114796466</v>
      </c>
      <c r="F12" s="17">
        <v>860.77038643838898</v>
      </c>
      <c r="G12" s="20">
        <f>(D12-F12)/D12</f>
        <v>9.0934009459884696E-2</v>
      </c>
    </row>
    <row r="13" spans="1:7" x14ac:dyDescent="0.15">
      <c r="A13" s="12" t="s">
        <v>134</v>
      </c>
      <c r="B13" s="12" t="s">
        <v>70</v>
      </c>
      <c r="C13" s="17">
        <v>850.59624838730099</v>
      </c>
      <c r="D13" s="17">
        <v>943.75147719309575</v>
      </c>
      <c r="E13" s="20">
        <f t="shared" si="0"/>
        <v>9.8707372710935409E-2</v>
      </c>
      <c r="F13" s="17">
        <v>850.59624838730099</v>
      </c>
      <c r="G13" s="20">
        <f>(D13-F13)/D13</f>
        <v>9.8707372710935409E-2</v>
      </c>
    </row>
    <row r="14" spans="1:7" x14ac:dyDescent="0.15">
      <c r="A14" s="12" t="s">
        <v>160</v>
      </c>
      <c r="B14" s="12" t="s">
        <v>45</v>
      </c>
      <c r="C14" s="17">
        <v>1250.1947717662119</v>
      </c>
      <c r="D14" s="17">
        <v>1524.745437830753</v>
      </c>
      <c r="E14" s="20">
        <f t="shared" si="0"/>
        <v>0.18006328089437851</v>
      </c>
      <c r="F14" s="17">
        <v>1250.1947717662099</v>
      </c>
      <c r="G14" s="20">
        <f>(D14-F14)/D14</f>
        <v>0.18006328089437987</v>
      </c>
    </row>
    <row r="15" spans="1:7" x14ac:dyDescent="0.15">
      <c r="A15" s="12" t="s">
        <v>160</v>
      </c>
      <c r="B15" s="13" t="s">
        <v>59</v>
      </c>
      <c r="C15" s="17">
        <v>1323.777008817603</v>
      </c>
      <c r="D15" s="17">
        <v>1472.4278172750419</v>
      </c>
      <c r="E15" s="20">
        <f t="shared" si="0"/>
        <v>0.10095626197319503</v>
      </c>
      <c r="F15" s="17">
        <v>1323.7770088176001</v>
      </c>
      <c r="G15" s="20">
        <f>(D15-F15)/D15</f>
        <v>0.10095626197319704</v>
      </c>
    </row>
    <row r="16" spans="1:7" x14ac:dyDescent="0.15">
      <c r="A16" s="12" t="s">
        <v>160</v>
      </c>
      <c r="B16" s="12" t="s">
        <v>70</v>
      </c>
      <c r="C16" s="17">
        <v>1325.2101421340681</v>
      </c>
      <c r="D16" s="17">
        <v>1458.1181839357521</v>
      </c>
      <c r="E16" s="20">
        <f t="shared" si="0"/>
        <v>9.1150390459392452E-2</v>
      </c>
      <c r="F16" s="17">
        <v>1325.2101421340601</v>
      </c>
      <c r="G16" s="20">
        <f>(D16-F16)/D16</f>
        <v>9.1150390459397906E-2</v>
      </c>
    </row>
    <row r="17" spans="1:7" x14ac:dyDescent="0.15">
      <c r="A17" s="12" t="s">
        <v>185</v>
      </c>
      <c r="B17" s="12" t="s">
        <v>45</v>
      </c>
      <c r="C17" s="17">
        <v>962.51497629767039</v>
      </c>
      <c r="D17" s="17">
        <v>1088.409909908595</v>
      </c>
      <c r="E17" s="20">
        <f t="shared" si="0"/>
        <v>0.11566867635512182</v>
      </c>
      <c r="F17" s="17">
        <v>962.51497629767005</v>
      </c>
      <c r="G17" s="20">
        <f>(D17-F17)/D17</f>
        <v>0.11566867635512214</v>
      </c>
    </row>
    <row r="18" spans="1:7" x14ac:dyDescent="0.15">
      <c r="A18" s="12" t="s">
        <v>185</v>
      </c>
      <c r="B18" s="13" t="s">
        <v>59</v>
      </c>
      <c r="C18" s="17">
        <v>960.66934130396578</v>
      </c>
      <c r="D18" s="17">
        <v>1100.707412016385</v>
      </c>
      <c r="E18" s="20">
        <f t="shared" si="0"/>
        <v>0.12722551804741969</v>
      </c>
      <c r="F18" s="17">
        <v>960.66934130396498</v>
      </c>
      <c r="G18" s="20">
        <f>(D18-F18)/D18</f>
        <v>0.12722551804742041</v>
      </c>
    </row>
    <row r="19" spans="1:7" x14ac:dyDescent="0.15">
      <c r="A19" s="12" t="s">
        <v>185</v>
      </c>
      <c r="B19" s="12" t="s">
        <v>70</v>
      </c>
      <c r="C19" s="17">
        <v>971.62720565890356</v>
      </c>
      <c r="D19" s="17">
        <v>1087.853415324648</v>
      </c>
      <c r="E19" s="20">
        <f t="shared" si="0"/>
        <v>0.10683995474800169</v>
      </c>
      <c r="F19" s="17">
        <v>971.62720565890299</v>
      </c>
      <c r="G19" s="20">
        <f>(D19-F19)/D19</f>
        <v>0.1068399547480022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use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Liu Ari</cp:lastModifiedBy>
  <dcterms:created xsi:type="dcterms:W3CDTF">2026-03-05T09:26:35Z</dcterms:created>
  <dcterms:modified xsi:type="dcterms:W3CDTF">2026-03-11T10:57:03Z</dcterms:modified>
</cp:coreProperties>
</file>